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8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240" yWindow="30" windowWidth="20115" windowHeight="8010" firstSheet="1" activeTab="2"/>
  </bookViews>
  <sheets>
    <sheet name="Executive Summary" sheetId="1" r:id="rId1"/>
    <sheet name="Campaign &amp; Channel Performance" sheetId="2" r:id="rId2"/>
    <sheet name="Monthly Performance" sheetId="3" r:id="rId3"/>
    <sheet name="Budget Analysis" sheetId="4" r:id="rId4"/>
    <sheet name="Audience Analysis" sheetId="5" r:id="rId5"/>
  </sheets>
  <calcPr calcId="125725"/>
</workbook>
</file>

<file path=xl/sharedStrings.xml><?xml version="1.0" encoding="utf-8"?>
<sst xmlns="http://schemas.openxmlformats.org/spreadsheetml/2006/main" count="225" uniqueCount="111">
  <si>
    <t>Marketing Campaign &amp; Business Performance Analytics</t>
  </si>
  <si>
    <t>Marketing Performance MIS Report</t>
  </si>
  <si>
    <t>Key Performance Indicators</t>
  </si>
  <si>
    <t>KPI</t>
  </si>
  <si>
    <t>Value</t>
  </si>
  <si>
    <t>Total Campaigns</t>
  </si>
  <si>
    <t>Total Budget</t>
  </si>
  <si>
    <t>Total Spend</t>
  </si>
  <si>
    <t>Total Revenue</t>
  </si>
  <si>
    <t>Total Conversions</t>
  </si>
  <si>
    <t>CTR</t>
  </si>
  <si>
    <t>Conversion Rate</t>
  </si>
  <si>
    <t>CPC</t>
  </si>
  <si>
    <t>ROAS</t>
  </si>
  <si>
    <t>Platform Performance</t>
  </si>
  <si>
    <t>Campaigns</t>
  </si>
  <si>
    <t>Spend</t>
  </si>
  <si>
    <t>Revenue</t>
  </si>
  <si>
    <t>Facebook</t>
  </si>
  <si>
    <t>Google</t>
  </si>
  <si>
    <t>Linkedin</t>
  </si>
  <si>
    <t>Instagram</t>
  </si>
  <si>
    <t>Youtube</t>
  </si>
  <si>
    <t>Campaign_ID</t>
  </si>
  <si>
    <t>Platform</t>
  </si>
  <si>
    <t>Content_Type</t>
  </si>
  <si>
    <t>Target_Age</t>
  </si>
  <si>
    <t>Target_Gender</t>
  </si>
  <si>
    <t>Region</t>
  </si>
  <si>
    <t>Conversions</t>
  </si>
  <si>
    <t>Calculated_CPA</t>
  </si>
  <si>
    <t>Calculated_ROAS</t>
  </si>
  <si>
    <t>C3578</t>
  </si>
  <si>
    <t>Carousel</t>
  </si>
  <si>
    <t>35-44</t>
  </si>
  <si>
    <t>Male</t>
  </si>
  <si>
    <t>Europe</t>
  </si>
  <si>
    <t>C6702</t>
  </si>
  <si>
    <t>LinkedIn</t>
  </si>
  <si>
    <t>Text</t>
  </si>
  <si>
    <t>55+</t>
  </si>
  <si>
    <t>Africa</t>
  </si>
  <si>
    <t>C9725</t>
  </si>
  <si>
    <t>Video</t>
  </si>
  <si>
    <t>Other</t>
  </si>
  <si>
    <t>North America</t>
  </si>
  <si>
    <t>C9472</t>
  </si>
  <si>
    <t>25-34</t>
  </si>
  <si>
    <t>C7601</t>
  </si>
  <si>
    <t>...</t>
  </si>
  <si>
    <t>C4071</t>
  </si>
  <si>
    <t>18-24</t>
  </si>
  <si>
    <t>C2402</t>
  </si>
  <si>
    <t>Asia</t>
  </si>
  <si>
    <t>C3257</t>
  </si>
  <si>
    <t>C4315</t>
  </si>
  <si>
    <t>Image</t>
  </si>
  <si>
    <t>C1412</t>
  </si>
  <si>
    <t>Month</t>
  </si>
  <si>
    <t>Total_Budget</t>
  </si>
  <si>
    <t>Total_Spend</t>
  </si>
  <si>
    <t>Total_Impressions</t>
  </si>
  <si>
    <t>Total_Clicks</t>
  </si>
  <si>
    <t>Total_Conversions</t>
  </si>
  <si>
    <t>Total_Revenue</t>
  </si>
  <si>
    <t>Conversion_Rate</t>
  </si>
  <si>
    <t>CPA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</si>
  <si>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</si>
  <si>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</si>
  <si>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</si>
  <si>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</si>
  <si>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</si>
  <si>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</si>
  <si>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</si>
  <si>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</si>
  <si>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</si>
  <si>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</si>
  <si>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</si>
  <si>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</si>
  <si>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</si>
  <si>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Budget_Status</t>
  </si>
  <si>
    <t>Under Budget</t>
  </si>
  <si>
    <t>Within Budget</t>
  </si>
  <si>
    <t>Over Budget</t>
  </si>
  <si>
    <t>NaN</t>
  </si>
  <si>
    <t>Key Business Insights</t>
  </si>
  <si>
    <t>Most campaigns operated within the 95%-105% budget range.</t>
  </si>
  <si>
    <t>88 campaigns used less than 95% of their allocated budget.</t>
  </si>
  <si>
    <t>Under-budget campaigns achieved slightly higher ROAS than within-budget campaigns</t>
  </si>
  <si>
    <t>Within-budget campaigns generated lower CPA than under-budget campaigns.</t>
  </si>
  <si>
    <t>South America</t>
  </si>
  <si>
    <t>Female</t>
  </si>
  <si>
    <t>25-33</t>
  </si>
  <si>
    <t>18-23</t>
  </si>
  <si>
    <t>45-53</t>
  </si>
  <si>
    <t>35-43</t>
  </si>
  <si>
    <t>Audience</t>
  </si>
  <si>
    <t>55+ | Other | South America</t>
  </si>
  <si>
    <t>25-34 | Other | Asia</t>
  </si>
  <si>
    <t>18-24 | Female | Asia</t>
  </si>
  <si>
    <t>45-54 | Other | North America</t>
  </si>
  <si>
    <t>35-44 | Other | Europe</t>
  </si>
  <si>
    <t>45-54 | Male | South America</t>
  </si>
  <si>
    <t>55+ | Female | North America</t>
  </si>
  <si>
    <t>35-44 | Male | North America</t>
  </si>
  <si>
    <t>55+ | Other | North America</t>
  </si>
  <si>
    <t>25-34 | Other | South America</t>
  </si>
  <si>
    <t>Key Campaign Insights</t>
  </si>
  <si>
    <t>• Facebook + Video delivered the highest platform-content ROAS.</t>
  </si>
  <si>
    <t>• Google + Carousel achieved the lowest CPA among the analyzed combinations.</t>
  </si>
  <si>
    <t>• Campaign-level performance varies significantly, highlighting opportunities for budget optimization.</t>
  </si>
</sst>
</file>

<file path=xl/styles.xml><?xml version="1.0" encoding="utf-8"?>
<styleSheet xmlns="http://schemas.openxmlformats.org/spreadsheetml/2006/main">
  <numFmts count="1">
    <numFmt numFmtId="43" formatCode="_ * #,##0.00_ ;_ * \-#,##0.00_ ;_ * &quot;-&quot;??_ ;_ @_ 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5" fillId="0" borderId="0" xfId="0" applyFont="1"/>
    <xf numFmtId="0" fontId="6" fillId="0" borderId="0" xfId="0" applyFont="1"/>
    <xf numFmtId="10" fontId="0" fillId="0" borderId="0" xfId="0" applyNumberFormat="1"/>
    <xf numFmtId="43" fontId="0" fillId="0" borderId="0" xfId="1" applyFont="1"/>
    <xf numFmtId="0" fontId="0" fillId="0" borderId="0" xfId="0" applyAlignment="1">
      <alignment wrapText="1"/>
    </xf>
    <xf numFmtId="4" fontId="0" fillId="0" borderId="0" xfId="0" applyNumberFormat="1"/>
    <xf numFmtId="4" fontId="0" fillId="0" borderId="0" xfId="0" applyNumberFormat="1" applyAlignment="1">
      <alignment wrapText="1"/>
    </xf>
    <xf numFmtId="3" fontId="0" fillId="0" borderId="0" xfId="0" applyNumberFormat="1"/>
    <xf numFmtId="3" fontId="0" fillId="0" borderId="0" xfId="0" applyNumberFormat="1" applyAlignment="1">
      <alignment wrapText="1"/>
    </xf>
    <xf numFmtId="0" fontId="2" fillId="0" borderId="0" xfId="0" applyFont="1" applyAlignment="1">
      <alignment wrapText="1"/>
    </xf>
    <xf numFmtId="0" fontId="0" fillId="0" borderId="0" xfId="0" applyNumberFormat="1" applyAlignment="1">
      <alignment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2" borderId="0" xfId="0" applyFill="1"/>
    <xf numFmtId="0" fontId="7" fillId="2" borderId="0" xfId="0" applyFont="1" applyFill="1" applyAlignment="1">
      <alignment horizontal="right" vertical="center" wrapText="1"/>
    </xf>
    <xf numFmtId="0" fontId="8" fillId="2" borderId="0" xfId="0" applyFont="1" applyFill="1" applyAlignment="1">
      <alignment horizontal="right" vertical="center" wrapText="1"/>
    </xf>
    <xf numFmtId="0" fontId="9" fillId="0" borderId="0" xfId="0" applyFont="1" applyAlignment="1">
      <alignment horizontal="left" wrapText="1"/>
    </xf>
    <xf numFmtId="0" fontId="0" fillId="0" borderId="0" xfId="0" applyAlignment="1"/>
    <xf numFmtId="0" fontId="7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5" fillId="0" borderId="0" xfId="0" applyFont="1" applyAlignment="1">
      <alignment wrapText="1"/>
    </xf>
    <xf numFmtId="0" fontId="8" fillId="2" borderId="0" xfId="0" applyFont="1" applyFill="1" applyBorder="1" applyAlignment="1">
      <alignment horizontal="right" vertical="center" wrapText="1"/>
    </xf>
  </cellXfs>
  <cellStyles count="2">
    <cellStyle name="Comma" xfId="1" builtinId="3"/>
    <cellStyle name="Normal" xfId="0" builtinId="0"/>
  </cellStyles>
  <dxfs count="6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relativeIndent="255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relativeIndent="255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numFmt numFmtId="3" formatCode="#,##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/>
            </a:pPr>
            <a:r>
              <a:rPr lang="en-US" sz="1800"/>
              <a:t>Revenue by Platform 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'Executive Summary'!$G$5</c:f>
              <c:strCache>
                <c:ptCount val="1"/>
                <c:pt idx="0">
                  <c:v>Revenue</c:v>
                </c:pt>
              </c:strCache>
            </c:strRef>
          </c:tx>
          <c:cat>
            <c:strRef>
              <c:f>'Executive Summary'!$D$6:$D$10</c:f>
              <c:strCache>
                <c:ptCount val="5"/>
                <c:pt idx="0">
                  <c:v>Facebook</c:v>
                </c:pt>
                <c:pt idx="1">
                  <c:v>Google</c:v>
                </c:pt>
                <c:pt idx="2">
                  <c:v>Linkedin</c:v>
                </c:pt>
                <c:pt idx="3">
                  <c:v>Instagram</c:v>
                </c:pt>
                <c:pt idx="4">
                  <c:v>Youtube</c:v>
                </c:pt>
              </c:strCache>
            </c:strRef>
          </c:cat>
          <c:val>
            <c:numRef>
              <c:f>'Executive Summary'!$G$6:$G$10</c:f>
              <c:numCache>
                <c:formatCode>#,##0</c:formatCode>
                <c:ptCount val="5"/>
                <c:pt idx="0" formatCode="General">
                  <c:v>13846011</c:v>
                </c:pt>
                <c:pt idx="1">
                  <c:v>11418956</c:v>
                </c:pt>
                <c:pt idx="2">
                  <c:v>13426760</c:v>
                </c:pt>
                <c:pt idx="3">
                  <c:v>11063115</c:v>
                </c:pt>
                <c:pt idx="4">
                  <c:v>10131868</c:v>
                </c:pt>
              </c:numCache>
            </c:numRef>
          </c:val>
        </c:ser>
        <c:axId val="42017536"/>
        <c:axId val="42019072"/>
      </c:barChart>
      <c:catAx>
        <c:axId val="42017536"/>
        <c:scaling>
          <c:orientation val="minMax"/>
        </c:scaling>
        <c:axPos val="b"/>
        <c:tickLblPos val="nextTo"/>
        <c:crossAx val="42019072"/>
        <c:crosses val="autoZero"/>
        <c:auto val="1"/>
        <c:lblAlgn val="ctr"/>
        <c:lblOffset val="100"/>
      </c:catAx>
      <c:valAx>
        <c:axId val="42019072"/>
        <c:scaling>
          <c:orientation val="minMax"/>
        </c:scaling>
        <c:axPos val="l"/>
        <c:majorGridlines/>
        <c:numFmt formatCode="General" sourceLinked="1"/>
        <c:tickLblPos val="nextTo"/>
        <c:crossAx val="42017536"/>
        <c:crosses val="autoZero"/>
        <c:crossBetween val="between"/>
      </c:valAx>
    </c:plotArea>
    <c:legend>
      <c:legendPos val="r"/>
      <c:layout/>
    </c:legend>
    <c:plotVisOnly val="1"/>
  </c:chart>
  <c:txPr>
    <a:bodyPr/>
    <a:lstStyle/>
    <a:p>
      <a:pPr>
        <a:defRPr sz="1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ROAS by Platform</a:t>
            </a:r>
          </a:p>
        </c:rich>
      </c:tx>
      <c:layout>
        <c:manualLayout>
          <c:xMode val="edge"/>
          <c:yMode val="edge"/>
          <c:x val="0.22589666780782838"/>
          <c:y val="3.032011409532713E-2"/>
        </c:manualLayout>
      </c:layout>
    </c:title>
    <c:plotArea>
      <c:layout/>
      <c:barChart>
        <c:barDir val="col"/>
        <c:grouping val="clustered"/>
        <c:ser>
          <c:idx val="0"/>
          <c:order val="0"/>
          <c:tx>
            <c:strRef>
              <c:f>'Executive Summary'!$H$5</c:f>
              <c:strCache>
                <c:ptCount val="1"/>
                <c:pt idx="0">
                  <c:v>ROAS</c:v>
                </c:pt>
              </c:strCache>
            </c:strRef>
          </c:tx>
          <c:cat>
            <c:strRef>
              <c:f>'Executive Summary'!$D$6:$D$10</c:f>
              <c:strCache>
                <c:ptCount val="5"/>
                <c:pt idx="0">
                  <c:v>Facebook</c:v>
                </c:pt>
                <c:pt idx="1">
                  <c:v>Google</c:v>
                </c:pt>
                <c:pt idx="2">
                  <c:v>Linkedin</c:v>
                </c:pt>
                <c:pt idx="3">
                  <c:v>Instagram</c:v>
                </c:pt>
                <c:pt idx="4">
                  <c:v>Youtube</c:v>
                </c:pt>
              </c:strCache>
            </c:strRef>
          </c:cat>
          <c:val>
            <c:numRef>
              <c:f>'Executive Summary'!$H$6:$H$10</c:f>
              <c:numCache>
                <c:formatCode>General</c:formatCode>
                <c:ptCount val="5"/>
                <c:pt idx="0">
                  <c:v>11.22</c:v>
                </c:pt>
                <c:pt idx="1">
                  <c:v>10.43</c:v>
                </c:pt>
                <c:pt idx="2">
                  <c:v>9.9600000000000009</c:v>
                </c:pt>
                <c:pt idx="3">
                  <c:v>9.5299999999999994</c:v>
                </c:pt>
                <c:pt idx="4">
                  <c:v>9.0500000000000007</c:v>
                </c:pt>
              </c:numCache>
            </c:numRef>
          </c:val>
        </c:ser>
        <c:axId val="84280448"/>
        <c:axId val="84309120"/>
      </c:barChart>
      <c:catAx>
        <c:axId val="84280448"/>
        <c:scaling>
          <c:orientation val="minMax"/>
        </c:scaling>
        <c:axPos val="b"/>
        <c:tickLblPos val="nextTo"/>
        <c:crossAx val="84309120"/>
        <c:crosses val="autoZero"/>
        <c:auto val="1"/>
        <c:lblAlgn val="ctr"/>
        <c:lblOffset val="100"/>
      </c:catAx>
      <c:valAx>
        <c:axId val="84309120"/>
        <c:scaling>
          <c:orientation val="minMax"/>
        </c:scaling>
        <c:axPos val="l"/>
        <c:majorGridlines/>
        <c:numFmt formatCode="General" sourceLinked="1"/>
        <c:tickLblPos val="nextTo"/>
        <c:crossAx val="8428044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10 Campaigns by ROAS</a:t>
            </a:r>
          </a:p>
        </c:rich>
      </c:tx>
      <c:layout>
        <c:manualLayout>
          <c:xMode val="edge"/>
          <c:yMode val="edge"/>
          <c:x val="0.12192405063291138"/>
          <c:y val="0.12568306010928962"/>
        </c:manualLayout>
      </c:layout>
    </c:title>
    <c:plotArea>
      <c:layout>
        <c:manualLayout>
          <c:layoutTarget val="inner"/>
          <c:xMode val="edge"/>
          <c:yMode val="edge"/>
          <c:x val="9.0855111465497199E-2"/>
          <c:y val="0.25310515621031243"/>
          <c:w val="0.56160217947440116"/>
          <c:h val="0.56702057404114803"/>
        </c:manualLayout>
      </c:layout>
      <c:barChart>
        <c:barDir val="col"/>
        <c:grouping val="clustered"/>
        <c:ser>
          <c:idx val="0"/>
          <c:order val="0"/>
          <c:tx>
            <c:strRef>
              <c:f>'Campaign &amp; Channel Performance'!$K$1</c:f>
              <c:strCache>
                <c:ptCount val="1"/>
                <c:pt idx="0">
                  <c:v>Calculated_ROAS</c:v>
                </c:pt>
              </c:strCache>
            </c:strRef>
          </c:tx>
          <c:cat>
            <c:strRef>
              <c:f>'Campaign &amp; Channel Performance'!$A$2:$A$12</c:f>
              <c:strCache>
                <c:ptCount val="11"/>
                <c:pt idx="0">
                  <c:v>C3578</c:v>
                </c:pt>
                <c:pt idx="1">
                  <c:v>C6702</c:v>
                </c:pt>
                <c:pt idx="2">
                  <c:v>C9725</c:v>
                </c:pt>
                <c:pt idx="3">
                  <c:v>C9472</c:v>
                </c:pt>
                <c:pt idx="4">
                  <c:v>C7601</c:v>
                </c:pt>
                <c:pt idx="5">
                  <c:v>...</c:v>
                </c:pt>
                <c:pt idx="6">
                  <c:v>C4071</c:v>
                </c:pt>
                <c:pt idx="7">
                  <c:v>C2402</c:v>
                </c:pt>
                <c:pt idx="8">
                  <c:v>C3257</c:v>
                </c:pt>
                <c:pt idx="9">
                  <c:v>C4315</c:v>
                </c:pt>
                <c:pt idx="10">
                  <c:v>C1412</c:v>
                </c:pt>
              </c:strCache>
            </c:strRef>
          </c:cat>
          <c:val>
            <c:numRef>
              <c:f>'Campaign &amp; Channel Performance'!$K$2:$K$12</c:f>
              <c:numCache>
                <c:formatCode>General</c:formatCode>
                <c:ptCount val="11"/>
                <c:pt idx="0">
                  <c:v>4.3136710000000003</c:v>
                </c:pt>
                <c:pt idx="1">
                  <c:v>12.721855</c:v>
                </c:pt>
                <c:pt idx="2">
                  <c:v>25.446674999999999</c:v>
                </c:pt>
                <c:pt idx="3">
                  <c:v>2.8249569999999999</c:v>
                </c:pt>
                <c:pt idx="4">
                  <c:v>34.428882000000002</c:v>
                </c:pt>
                <c:pt idx="5">
                  <c:v>0</c:v>
                </c:pt>
                <c:pt idx="6">
                  <c:v>3.1278589999999999</c:v>
                </c:pt>
                <c:pt idx="7">
                  <c:v>58.558129000000001</c:v>
                </c:pt>
                <c:pt idx="8">
                  <c:v>1.0167949999999999</c:v>
                </c:pt>
                <c:pt idx="9">
                  <c:v>3.9491779999999999</c:v>
                </c:pt>
                <c:pt idx="10">
                  <c:v>13.127974999999999</c:v>
                </c:pt>
              </c:numCache>
            </c:numRef>
          </c:val>
        </c:ser>
        <c:axId val="101886208"/>
        <c:axId val="91152384"/>
      </c:barChart>
      <c:catAx>
        <c:axId val="101886208"/>
        <c:scaling>
          <c:orientation val="minMax"/>
        </c:scaling>
        <c:axPos val="b"/>
        <c:tickLblPos val="nextTo"/>
        <c:crossAx val="91152384"/>
        <c:crosses val="autoZero"/>
        <c:auto val="1"/>
        <c:lblAlgn val="ctr"/>
        <c:lblOffset val="100"/>
      </c:catAx>
      <c:valAx>
        <c:axId val="91152384"/>
        <c:scaling>
          <c:orientation val="minMax"/>
        </c:scaling>
        <c:axPos val="l"/>
        <c:majorGridlines/>
        <c:numFmt formatCode="General" sourceLinked="1"/>
        <c:tickLblPos val="nextTo"/>
        <c:crossAx val="10188620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Monthly Revenue Trend</a:t>
            </a:r>
            <a:endParaRPr lang="en-US"/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'Monthly Performance'!$H$1</c:f>
              <c:strCache>
                <c:ptCount val="1"/>
                <c:pt idx="0">
                  <c:v>Total_Revenue</c:v>
                </c:pt>
              </c:strCache>
            </c:strRef>
          </c:tx>
          <c:marker>
            <c:symbol val="none"/>
          </c:marker>
          <c:cat>
            <c:strRef>
              <c:f>'Monthly Performance'!$A$2:$A$14</c:f>
              <c:strCache>
                <c:ptCount val="13"/>
                <c:pt idx="0">
                  <c:v>2024-02</c:v>
                </c:pt>
                <c:pt idx="1">
                  <c:v>2024-03</c:v>
                </c:pt>
                <c:pt idx="2">
                  <c:v>2024-04</c:v>
                </c:pt>
                <c:pt idx="3">
                  <c:v>2024-05</c:v>
                </c:pt>
                <c:pt idx="4">
                  <c:v>2024-06</c:v>
                </c:pt>
                <c:pt idx="5">
                  <c:v>2024-07</c:v>
                </c:pt>
                <c:pt idx="6">
                  <c:v>2024-08</c:v>
                </c:pt>
                <c:pt idx="7">
                  <c:v>2024-09</c:v>
                </c:pt>
                <c:pt idx="8">
                  <c:v>2024-10</c:v>
                </c:pt>
                <c:pt idx="9">
                  <c:v>2024-11</c:v>
                </c:pt>
                <c:pt idx="10">
                  <c:v>2024-12</c:v>
                </c:pt>
                <c:pt idx="11">
                  <c:v>2025-01</c:v>
                </c:pt>
                <c:pt idx="12">
                  <c:v>2025-02</c:v>
                </c:pt>
              </c:strCache>
            </c:strRef>
          </c:cat>
          <c:val>
            <c:numRef>
              <c:f>'Monthly Performance'!$H$2:$H$14</c:f>
              <c:numCache>
                <c:formatCode>General</c:formatCode>
                <c:ptCount val="13"/>
                <c:pt idx="0">
                  <c:v>3321877</c:v>
                </c:pt>
                <c:pt idx="1">
                  <c:v>4927968</c:v>
                </c:pt>
                <c:pt idx="2">
                  <c:v>6413032</c:v>
                </c:pt>
                <c:pt idx="3">
                  <c:v>5769677</c:v>
                </c:pt>
                <c:pt idx="4">
                  <c:v>4904379</c:v>
                </c:pt>
                <c:pt idx="5">
                  <c:v>5116647</c:v>
                </c:pt>
                <c:pt idx="6">
                  <c:v>5009860</c:v>
                </c:pt>
                <c:pt idx="7">
                  <c:v>4747832</c:v>
                </c:pt>
                <c:pt idx="8">
                  <c:v>4988722</c:v>
                </c:pt>
                <c:pt idx="9">
                  <c:v>4478878</c:v>
                </c:pt>
                <c:pt idx="10">
                  <c:v>4148418</c:v>
                </c:pt>
                <c:pt idx="11">
                  <c:v>4962436</c:v>
                </c:pt>
                <c:pt idx="12">
                  <c:v>1096984</c:v>
                </c:pt>
              </c:numCache>
            </c:numRef>
          </c:val>
        </c:ser>
        <c:marker val="1"/>
        <c:axId val="137979776"/>
        <c:axId val="138001408"/>
      </c:lineChart>
      <c:catAx>
        <c:axId val="137979776"/>
        <c:scaling>
          <c:orientation val="minMax"/>
        </c:scaling>
        <c:axPos val="b"/>
        <c:tickLblPos val="nextTo"/>
        <c:crossAx val="138001408"/>
        <c:crosses val="autoZero"/>
        <c:auto val="1"/>
        <c:lblAlgn val="ctr"/>
        <c:lblOffset val="100"/>
      </c:catAx>
      <c:valAx>
        <c:axId val="138001408"/>
        <c:scaling>
          <c:orientation val="minMax"/>
        </c:scaling>
        <c:axPos val="l"/>
        <c:majorGridlines/>
        <c:numFmt formatCode="General" sourceLinked="1"/>
        <c:tickLblPos val="nextTo"/>
        <c:crossAx val="13797977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ROAS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'Monthly Performance'!$M$1</c:f>
              <c:strCache>
                <c:ptCount val="1"/>
                <c:pt idx="0">
                  <c:v>ROAS</c:v>
                </c:pt>
              </c:strCache>
            </c:strRef>
          </c:tx>
          <c:marker>
            <c:symbol val="none"/>
          </c:marker>
          <c:cat>
            <c:strRef>
              <c:f>'Monthly Performance'!$A$2:$A$14</c:f>
              <c:strCache>
                <c:ptCount val="13"/>
                <c:pt idx="0">
                  <c:v>2024-02</c:v>
                </c:pt>
                <c:pt idx="1">
                  <c:v>2024-03</c:v>
                </c:pt>
                <c:pt idx="2">
                  <c:v>2024-04</c:v>
                </c:pt>
                <c:pt idx="3">
                  <c:v>2024-05</c:v>
                </c:pt>
                <c:pt idx="4">
                  <c:v>2024-06</c:v>
                </c:pt>
                <c:pt idx="5">
                  <c:v>2024-07</c:v>
                </c:pt>
                <c:pt idx="6">
                  <c:v>2024-08</c:v>
                </c:pt>
                <c:pt idx="7">
                  <c:v>2024-09</c:v>
                </c:pt>
                <c:pt idx="8">
                  <c:v>2024-10</c:v>
                </c:pt>
                <c:pt idx="9">
                  <c:v>2024-11</c:v>
                </c:pt>
                <c:pt idx="10">
                  <c:v>2024-12</c:v>
                </c:pt>
                <c:pt idx="11">
                  <c:v>2025-01</c:v>
                </c:pt>
                <c:pt idx="12">
                  <c:v>2025-02</c:v>
                </c:pt>
              </c:strCache>
            </c:strRef>
          </c:cat>
          <c:val>
            <c:numRef>
              <c:f>'Monthly Performance'!$M$2:$M$14</c:f>
              <c:numCache>
                <c:formatCode>General</c:formatCode>
                <c:ptCount val="13"/>
                <c:pt idx="0">
                  <c:v>10.413065</c:v>
                </c:pt>
                <c:pt idx="1">
                  <c:v>9.3921639999999993</c:v>
                </c:pt>
                <c:pt idx="2">
                  <c:v>11.386649999999999</c:v>
                </c:pt>
                <c:pt idx="3">
                  <c:v>10.765666</c:v>
                </c:pt>
                <c:pt idx="4">
                  <c:v>9.2255450000000003</c:v>
                </c:pt>
                <c:pt idx="5">
                  <c:v>9.8792989999999996</c:v>
                </c:pt>
                <c:pt idx="6">
                  <c:v>9.5749499999999994</c:v>
                </c:pt>
                <c:pt idx="7">
                  <c:v>10.572647</c:v>
                </c:pt>
                <c:pt idx="8">
                  <c:v>9.4427979999999998</c:v>
                </c:pt>
                <c:pt idx="9">
                  <c:v>11.564387</c:v>
                </c:pt>
                <c:pt idx="10">
                  <c:v>9.8492230000000003</c:v>
                </c:pt>
                <c:pt idx="11">
                  <c:v>9.4794300000000007</c:v>
                </c:pt>
                <c:pt idx="12">
                  <c:v>8.3602410000000003</c:v>
                </c:pt>
              </c:numCache>
            </c:numRef>
          </c:val>
        </c:ser>
        <c:marker val="1"/>
        <c:axId val="138561792"/>
        <c:axId val="166223872"/>
      </c:lineChart>
      <c:catAx>
        <c:axId val="138561792"/>
        <c:scaling>
          <c:orientation val="minMax"/>
        </c:scaling>
        <c:axPos val="b"/>
        <c:tickLblPos val="nextTo"/>
        <c:crossAx val="166223872"/>
        <c:crosses val="autoZero"/>
        <c:auto val="1"/>
        <c:lblAlgn val="ctr"/>
        <c:lblOffset val="100"/>
      </c:catAx>
      <c:valAx>
        <c:axId val="166223872"/>
        <c:scaling>
          <c:orientation val="minMax"/>
        </c:scaling>
        <c:axPos val="l"/>
        <c:majorGridlines/>
        <c:numFmt formatCode="General" sourceLinked="1"/>
        <c:tickLblPos val="nextTo"/>
        <c:crossAx val="13856179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Campaigns by Budget Status</a:t>
            </a:r>
            <a:endParaRPr lang="en-US"/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'Budget Analysis'!$B$1</c:f>
              <c:strCache>
                <c:ptCount val="1"/>
                <c:pt idx="0">
                  <c:v>Campaigns</c:v>
                </c:pt>
              </c:strCache>
            </c:strRef>
          </c:tx>
          <c:cat>
            <c:strRef>
              <c:f>'Budget Analysis'!$A$2:$A$4</c:f>
              <c:strCache>
                <c:ptCount val="3"/>
                <c:pt idx="0">
                  <c:v>Under Budget</c:v>
                </c:pt>
                <c:pt idx="1">
                  <c:v>Within Budget</c:v>
                </c:pt>
                <c:pt idx="2">
                  <c:v>Over Budget</c:v>
                </c:pt>
              </c:strCache>
            </c:strRef>
          </c:cat>
          <c:val>
            <c:numRef>
              <c:f>'Budget Analysis'!$B$2:$B$4</c:f>
              <c:numCache>
                <c:formatCode>General</c:formatCode>
                <c:ptCount val="3"/>
                <c:pt idx="0">
                  <c:v>88</c:v>
                </c:pt>
                <c:pt idx="1">
                  <c:v>912</c:v>
                </c:pt>
                <c:pt idx="2">
                  <c:v>0</c:v>
                </c:pt>
              </c:numCache>
            </c:numRef>
          </c:val>
        </c:ser>
        <c:axId val="173479424"/>
        <c:axId val="138592640"/>
      </c:barChart>
      <c:catAx>
        <c:axId val="173479424"/>
        <c:scaling>
          <c:orientation val="minMax"/>
        </c:scaling>
        <c:axPos val="b"/>
        <c:tickLblPos val="nextTo"/>
        <c:crossAx val="138592640"/>
        <c:crosses val="autoZero"/>
        <c:auto val="1"/>
        <c:lblAlgn val="ctr"/>
        <c:lblOffset val="100"/>
      </c:catAx>
      <c:valAx>
        <c:axId val="138592640"/>
        <c:scaling>
          <c:orientation val="minMax"/>
        </c:scaling>
        <c:axPos val="l"/>
        <c:majorGridlines/>
        <c:numFmt formatCode="General" sourceLinked="1"/>
        <c:tickLblPos val="nextTo"/>
        <c:crossAx val="17347942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ROAS by Target Age</a:t>
            </a:r>
            <a:endParaRPr lang="en-US"/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'Audience Analysis'!$M$1</c:f>
              <c:strCache>
                <c:ptCount val="1"/>
                <c:pt idx="0">
                  <c:v>ROAS</c:v>
                </c:pt>
              </c:strCache>
            </c:strRef>
          </c:tx>
          <c:cat>
            <c:strRef>
              <c:f>'Audience Analysis'!$A$2:$A$16</c:f>
              <c:strCache>
                <c:ptCount val="15"/>
                <c:pt idx="0">
                  <c:v>55+</c:v>
                </c:pt>
                <c:pt idx="1">
                  <c:v>25-33</c:v>
                </c:pt>
                <c:pt idx="2">
                  <c:v>18-23</c:v>
                </c:pt>
                <c:pt idx="3">
                  <c:v>45-53</c:v>
                </c:pt>
                <c:pt idx="4">
                  <c:v>35-43</c:v>
                </c:pt>
                <c:pt idx="5">
                  <c:v>45-53</c:v>
                </c:pt>
                <c:pt idx="6">
                  <c:v>55+</c:v>
                </c:pt>
                <c:pt idx="7">
                  <c:v>35-43</c:v>
                </c:pt>
                <c:pt idx="8">
                  <c:v>55+</c:v>
                </c:pt>
                <c:pt idx="9">
                  <c:v>25-33</c:v>
                </c:pt>
                <c:pt idx="10">
                  <c:v>35-43</c:v>
                </c:pt>
                <c:pt idx="11">
                  <c:v>55+</c:v>
                </c:pt>
                <c:pt idx="12">
                  <c:v>25-33</c:v>
                </c:pt>
                <c:pt idx="13">
                  <c:v>35-43</c:v>
                </c:pt>
                <c:pt idx="14">
                  <c:v>18-23</c:v>
                </c:pt>
              </c:strCache>
            </c:strRef>
          </c:cat>
          <c:val>
            <c:numRef>
              <c:f>'Audience Analysis'!$M$2:$M$16</c:f>
              <c:numCache>
                <c:formatCode>General</c:formatCode>
                <c:ptCount val="15"/>
                <c:pt idx="0">
                  <c:v>19.056840999999999</c:v>
                </c:pt>
                <c:pt idx="1">
                  <c:v>18.648216999999999</c:v>
                </c:pt>
                <c:pt idx="2">
                  <c:v>17.272683000000001</c:v>
                </c:pt>
                <c:pt idx="3">
                  <c:v>16.522355000000001</c:v>
                </c:pt>
                <c:pt idx="4">
                  <c:v>16.353552000000001</c:v>
                </c:pt>
                <c:pt idx="5">
                  <c:v>14.980579000000001</c:v>
                </c:pt>
                <c:pt idx="6">
                  <c:v>14.411583</c:v>
                </c:pt>
                <c:pt idx="7">
                  <c:v>14.354927</c:v>
                </c:pt>
                <c:pt idx="8">
                  <c:v>13.80672</c:v>
                </c:pt>
                <c:pt idx="9">
                  <c:v>13.683589</c:v>
                </c:pt>
                <c:pt idx="10">
                  <c:v>13.481821</c:v>
                </c:pt>
                <c:pt idx="11">
                  <c:v>13.408242</c:v>
                </c:pt>
                <c:pt idx="12">
                  <c:v>12.690111</c:v>
                </c:pt>
                <c:pt idx="13">
                  <c:v>12.521296</c:v>
                </c:pt>
                <c:pt idx="14">
                  <c:v>12.482777</c:v>
                </c:pt>
              </c:numCache>
            </c:numRef>
          </c:val>
        </c:ser>
        <c:axId val="108605440"/>
        <c:axId val="108607360"/>
      </c:barChart>
      <c:catAx>
        <c:axId val="108605440"/>
        <c:scaling>
          <c:orientation val="minMax"/>
        </c:scaling>
        <c:axPos val="b"/>
        <c:tickLblPos val="nextTo"/>
        <c:crossAx val="108607360"/>
        <c:crosses val="autoZero"/>
        <c:auto val="1"/>
        <c:lblAlgn val="ctr"/>
        <c:lblOffset val="100"/>
      </c:catAx>
      <c:valAx>
        <c:axId val="108607360"/>
        <c:scaling>
          <c:orientation val="minMax"/>
        </c:scaling>
        <c:axPos val="l"/>
        <c:majorGridlines/>
        <c:numFmt formatCode="General" sourceLinked="1"/>
        <c:tickLblPos val="nextTo"/>
        <c:crossAx val="10860544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Top 10 Audience Combinations by ROAS</a:t>
            </a:r>
            <a:endParaRPr lang="en-US"/>
          </a:p>
        </c:rich>
      </c:tx>
      <c:layout>
        <c:manualLayout>
          <c:xMode val="edge"/>
          <c:yMode val="edge"/>
          <c:x val="0.13095882736235698"/>
          <c:y val="1.5810276679841896E-2"/>
        </c:manualLayout>
      </c:layout>
    </c:title>
    <c:plotArea>
      <c:layout/>
      <c:barChart>
        <c:barDir val="col"/>
        <c:grouping val="clustered"/>
        <c:ser>
          <c:idx val="0"/>
          <c:order val="0"/>
          <c:tx>
            <c:strRef>
              <c:f>'Audience Analysis'!$O$1</c:f>
              <c:strCache>
                <c:ptCount val="1"/>
                <c:pt idx="0">
                  <c:v>ROAS</c:v>
                </c:pt>
              </c:strCache>
            </c:strRef>
          </c:tx>
          <c:cat>
            <c:strRef>
              <c:f>'Audience Analysis'!$N$2:$N$13</c:f>
              <c:strCache>
                <c:ptCount val="10"/>
                <c:pt idx="0">
                  <c:v>55+ | Other | South America</c:v>
                </c:pt>
                <c:pt idx="1">
                  <c:v>25-34 | Other | Asia</c:v>
                </c:pt>
                <c:pt idx="2">
                  <c:v>18-24 | Female | Asia</c:v>
                </c:pt>
                <c:pt idx="3">
                  <c:v>45-54 | Other | North America</c:v>
                </c:pt>
                <c:pt idx="4">
                  <c:v>35-44 | Other | Europe</c:v>
                </c:pt>
                <c:pt idx="5">
                  <c:v>45-54 | Male | South America</c:v>
                </c:pt>
                <c:pt idx="6">
                  <c:v>55+ | Female | North America</c:v>
                </c:pt>
                <c:pt idx="7">
                  <c:v>35-44 | Male | North America</c:v>
                </c:pt>
                <c:pt idx="8">
                  <c:v>55+ | Other | North America</c:v>
                </c:pt>
                <c:pt idx="9">
                  <c:v>25-34 | Other | South America</c:v>
                </c:pt>
              </c:strCache>
            </c:strRef>
          </c:cat>
          <c:val>
            <c:numRef>
              <c:f>'Audience Analysis'!$O$2:$O$13</c:f>
              <c:numCache>
                <c:formatCode>General</c:formatCode>
                <c:ptCount val="12"/>
                <c:pt idx="0">
                  <c:v>19.056840999999999</c:v>
                </c:pt>
                <c:pt idx="1">
                  <c:v>18.648216999999999</c:v>
                </c:pt>
                <c:pt idx="2">
                  <c:v>17.272683000000001</c:v>
                </c:pt>
                <c:pt idx="3">
                  <c:v>16.522355000000001</c:v>
                </c:pt>
                <c:pt idx="4">
                  <c:v>16.353552000000001</c:v>
                </c:pt>
                <c:pt idx="5">
                  <c:v>14.980579000000001</c:v>
                </c:pt>
                <c:pt idx="6">
                  <c:v>14.411583</c:v>
                </c:pt>
                <c:pt idx="7">
                  <c:v>14.354927</c:v>
                </c:pt>
                <c:pt idx="8">
                  <c:v>13.80672</c:v>
                </c:pt>
                <c:pt idx="9">
                  <c:v>13.683589</c:v>
                </c:pt>
              </c:numCache>
            </c:numRef>
          </c:val>
        </c:ser>
        <c:axId val="138419200"/>
        <c:axId val="138441856"/>
      </c:barChart>
      <c:catAx>
        <c:axId val="138419200"/>
        <c:scaling>
          <c:orientation val="minMax"/>
        </c:scaling>
        <c:axPos val="b"/>
        <c:tickLblPos val="nextTo"/>
        <c:crossAx val="138441856"/>
        <c:crosses val="autoZero"/>
        <c:auto val="1"/>
        <c:lblAlgn val="ctr"/>
        <c:lblOffset val="100"/>
      </c:catAx>
      <c:valAx>
        <c:axId val="138441856"/>
        <c:scaling>
          <c:orientation val="minMax"/>
        </c:scaling>
        <c:axPos val="l"/>
        <c:majorGridlines/>
        <c:numFmt formatCode="General" sourceLinked="1"/>
        <c:tickLblPos val="nextTo"/>
        <c:crossAx val="13841920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14</xdr:row>
      <xdr:rowOff>85724</xdr:rowOff>
    </xdr:from>
    <xdr:to>
      <xdr:col>5</xdr:col>
      <xdr:colOff>180975</xdr:colOff>
      <xdr:row>25</xdr:row>
      <xdr:rowOff>66674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15</xdr:row>
      <xdr:rowOff>47625</xdr:rowOff>
    </xdr:from>
    <xdr:to>
      <xdr:col>1</xdr:col>
      <xdr:colOff>114300</xdr:colOff>
      <xdr:row>26</xdr:row>
      <xdr:rowOff>28575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180975</xdr:rowOff>
    </xdr:from>
    <xdr:to>
      <xdr:col>3</xdr:col>
      <xdr:colOff>552450</xdr:colOff>
      <xdr:row>16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285749</xdr:colOff>
      <xdr:row>14</xdr:row>
      <xdr:rowOff>171449</xdr:rowOff>
    </xdr:from>
    <xdr:to>
      <xdr:col>6</xdr:col>
      <xdr:colOff>228599</xdr:colOff>
      <xdr:row>26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1028700</xdr:colOff>
      <xdr:row>15</xdr:row>
      <xdr:rowOff>9525</xdr:rowOff>
    </xdr:from>
    <xdr:to>
      <xdr:col>13</xdr:col>
      <xdr:colOff>57150</xdr:colOff>
      <xdr:row>26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314326</xdr:colOff>
      <xdr:row>5</xdr:row>
      <xdr:rowOff>0</xdr:rowOff>
    </xdr:from>
    <xdr:to>
      <xdr:col>7</xdr:col>
      <xdr:colOff>57151</xdr:colOff>
      <xdr:row>9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9525</xdr:rowOff>
    </xdr:from>
    <xdr:to>
      <xdr:col>4</xdr:col>
      <xdr:colOff>152400</xdr:colOff>
      <xdr:row>30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542924</xdr:colOff>
      <xdr:row>17</xdr:row>
      <xdr:rowOff>9525</xdr:rowOff>
    </xdr:from>
    <xdr:to>
      <xdr:col>8</xdr:col>
      <xdr:colOff>123824</xdr:colOff>
      <xdr:row>29</xdr:row>
      <xdr:rowOff>133350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D5:H10" totalsRowShown="0" headerRowDxfId="60">
  <autoFilter ref="D5:H10"/>
  <tableColumns count="5">
    <tableColumn id="1" name="Platform Performance"/>
    <tableColumn id="2" name="Campaigns"/>
    <tableColumn id="3" name="Spend" dataDxfId="59"/>
    <tableColumn id="4" name="Revenue" dataDxfId="58"/>
    <tableColumn id="5" name="ROAS"/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5:B14" totalsRowShown="0" headerRowDxfId="57">
  <autoFilter ref="A5:B14"/>
  <tableColumns count="2">
    <tableColumn id="1" name="KPI"/>
    <tableColumn id="2" name="Value"/>
  </tableColumns>
  <tableStyleInfo name="TableStyleLight1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K12" totalsRowShown="0" headerRowDxfId="56" dataDxfId="55">
  <autoFilter ref="A1:K12"/>
  <tableColumns count="11">
    <tableColumn id="1" name="Campaign_ID" dataDxfId="54"/>
    <tableColumn id="2" name="Platform" dataDxfId="53"/>
    <tableColumn id="3" name="Content_Type" dataDxfId="52"/>
    <tableColumn id="4" name="Target_Age" dataDxfId="51"/>
    <tableColumn id="5" name="Target_Gender" dataDxfId="50"/>
    <tableColumn id="6" name="Region" dataDxfId="49"/>
    <tableColumn id="7" name="Spend" dataDxfId="48"/>
    <tableColumn id="8" name="Conversions" dataDxfId="47"/>
    <tableColumn id="9" name="Revenue" dataDxfId="46"/>
    <tableColumn id="10" name="Calculated_CPA" dataDxfId="45"/>
    <tableColumn id="11" name="Calculated_ROAS" dataDxfId="44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id="5" name="Table5" displayName="Table5" ref="A1:M14" totalsRowShown="0" headerRowDxfId="29" dataDxfId="30">
  <autoFilter ref="A1:M14"/>
  <tableColumns count="13">
    <tableColumn id="1" name="Month" dataDxfId="43"/>
    <tableColumn id="2" name="Campaigns" dataDxfId="42"/>
    <tableColumn id="3" name="Total_Budget" dataDxfId="41"/>
    <tableColumn id="4" name="Total_Spend" dataDxfId="40"/>
    <tableColumn id="5" name="Total_Impressions" dataDxfId="39"/>
    <tableColumn id="6" name="Total_Clicks" dataDxfId="38"/>
    <tableColumn id="7" name="Total_Conversions" dataDxfId="37"/>
    <tableColumn id="8" name="Total_Revenue" dataDxfId="36"/>
    <tableColumn id="9" name="CTR" dataDxfId="35"/>
    <tableColumn id="10" name="Conversion_Rate" dataDxfId="34"/>
    <tableColumn id="11" name="CPC" dataDxfId="33"/>
    <tableColumn id="12" name="CPA" dataDxfId="32"/>
    <tableColumn id="13" name="ROAS" dataDxfId="31"/>
  </tableColumns>
  <tableStyleInfo name="TableStyleLight20" showFirstColumn="0" showLastColumn="0" showRowStripes="1" showColumnStripes="0"/>
</table>
</file>

<file path=xl/tables/table5.xml><?xml version="1.0" encoding="utf-8"?>
<table xmlns="http://schemas.openxmlformats.org/spreadsheetml/2006/main" id="7" name="Table7" displayName="Table7" ref="A1:H4" totalsRowShown="0" headerRowDxfId="19" dataDxfId="20">
  <autoFilter ref="A1:H4"/>
  <tableColumns count="8">
    <tableColumn id="1" name="Budget_Status" dataDxfId="28"/>
    <tableColumn id="2" name="Campaigns" dataDxfId="27"/>
    <tableColumn id="3" name="Total_Budget" dataDxfId="26"/>
    <tableColumn id="4" name="Total_Spend" dataDxfId="25"/>
    <tableColumn id="5" name="Total_Revenue" dataDxfId="24"/>
    <tableColumn id="6" name="Total_Conversions" dataDxfId="23"/>
    <tableColumn id="7" name="CPA" dataDxfId="22"/>
    <tableColumn id="8" name="ROAS" dataDxfId="21"/>
  </tableColumns>
  <tableStyleInfo name="TableStyleLight19" showFirstColumn="0" showLastColumn="0" showRowStripes="1" showColumnStripes="0"/>
</table>
</file>

<file path=xl/tables/table6.xml><?xml version="1.0" encoding="utf-8"?>
<table xmlns="http://schemas.openxmlformats.org/spreadsheetml/2006/main" id="8" name="Table8" displayName="Table8" ref="A1:M16" totalsRowShown="0" headerRowDxfId="4" dataDxfId="5">
  <autoFilter ref="A1:M16"/>
  <sortState ref="A2:M16">
    <sortCondition descending="1" ref="M1:M16"/>
  </sortState>
  <tableColumns count="13">
    <tableColumn id="1" name="Target_Age" dataDxfId="18"/>
    <tableColumn id="2" name="Target_Gender" dataDxfId="17"/>
    <tableColumn id="3" name="Region" dataDxfId="16"/>
    <tableColumn id="4" name="Campaigns" dataDxfId="15"/>
    <tableColumn id="5" name="Total_Spend" dataDxfId="14"/>
    <tableColumn id="6" name="Total_Revenue" dataDxfId="13"/>
    <tableColumn id="7" name="Total_Conversions" dataDxfId="12"/>
    <tableColumn id="8" name="Total_Impressions" dataDxfId="11"/>
    <tableColumn id="9" name="Total_Clicks" dataDxfId="10"/>
    <tableColumn id="10" name="CTR" dataDxfId="9"/>
    <tableColumn id="11" name="Conversion_Rate" dataDxfId="8"/>
    <tableColumn id="12" name="CPA" dataDxfId="7"/>
    <tableColumn id="13" name="ROAS" dataDxfId="6"/>
  </tableColumns>
  <tableStyleInfo name="TableStyleLight19" showFirstColumn="0" showLastColumn="0" showRowStripes="1" showColumnStripes="0"/>
</table>
</file>

<file path=xl/tables/table7.xml><?xml version="1.0" encoding="utf-8"?>
<table xmlns="http://schemas.openxmlformats.org/spreadsheetml/2006/main" id="9" name="Table9" displayName="Table9" ref="N1:O13" totalsRowShown="0" headerRowDxfId="0" dataDxfId="1">
  <autoFilter ref="N1:O13"/>
  <tableColumns count="2">
    <tableColumn id="1" name="Audience" dataDxfId="3"/>
    <tableColumn id="2" name="ROAS" dataDxfId="2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echnic">
      <a:dk1>
        <a:sysClr val="windowText" lastClr="000000"/>
      </a:dk1>
      <a:lt1>
        <a:sysClr val="window" lastClr="FFFFFF"/>
      </a:lt1>
      <a:dk2>
        <a:srgbClr val="3B3B3B"/>
      </a:dk2>
      <a:lt2>
        <a:srgbClr val="D4D2D0"/>
      </a:lt2>
      <a:accent1>
        <a:srgbClr val="6EA0B0"/>
      </a:accent1>
      <a:accent2>
        <a:srgbClr val="CCAF0A"/>
      </a:accent2>
      <a:accent3>
        <a:srgbClr val="8D89A4"/>
      </a:accent3>
      <a:accent4>
        <a:srgbClr val="748560"/>
      </a:accent4>
      <a:accent5>
        <a:srgbClr val="9E9273"/>
      </a:accent5>
      <a:accent6>
        <a:srgbClr val="7E848D"/>
      </a:accent6>
      <a:hlink>
        <a:srgbClr val="00C8C3"/>
      </a:hlink>
      <a:folHlink>
        <a:srgbClr val="A116E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opLeftCell="A5" workbookViewId="0">
      <selection activeCell="G13" sqref="G13"/>
    </sheetView>
  </sheetViews>
  <sheetFormatPr defaultRowHeight="15"/>
  <cols>
    <col min="1" max="1" width="50.85546875" bestFit="1" customWidth="1"/>
    <col min="2" max="2" width="14.28515625" bestFit="1" customWidth="1"/>
    <col min="3" max="3" width="15.5703125" bestFit="1" customWidth="1"/>
    <col min="4" max="4" width="26.28515625" bestFit="1" customWidth="1"/>
    <col min="5" max="5" width="13.5703125" customWidth="1"/>
    <col min="6" max="6" width="12.5703125" bestFit="1" customWidth="1"/>
    <col min="7" max="7" width="11.5703125" customWidth="1"/>
  </cols>
  <sheetData>
    <row r="1" spans="1:8" ht="21">
      <c r="A1" s="13" t="s">
        <v>0</v>
      </c>
      <c r="B1" s="13"/>
      <c r="C1" s="13"/>
      <c r="D1" s="13"/>
      <c r="E1" s="13"/>
      <c r="F1" s="13"/>
      <c r="G1" s="13"/>
      <c r="H1" s="13"/>
    </row>
    <row r="2" spans="1:8" ht="18.75">
      <c r="A2" s="14" t="s">
        <v>1</v>
      </c>
      <c r="B2" s="14"/>
      <c r="C2" s="14"/>
      <c r="D2" s="14"/>
      <c r="E2" s="14"/>
      <c r="F2" s="14"/>
      <c r="G2" s="14"/>
      <c r="H2" s="14"/>
    </row>
    <row r="4" spans="1:8" ht="18.75">
      <c r="A4" s="3" t="s">
        <v>2</v>
      </c>
    </row>
    <row r="5" spans="1:8" ht="15.75">
      <c r="A5" s="2" t="s">
        <v>3</v>
      </c>
      <c r="B5" s="2" t="s">
        <v>4</v>
      </c>
      <c r="D5" s="2" t="s">
        <v>14</v>
      </c>
      <c r="E5" s="2" t="s">
        <v>15</v>
      </c>
      <c r="F5" s="2" t="s">
        <v>16</v>
      </c>
      <c r="G5" s="2" t="s">
        <v>17</v>
      </c>
      <c r="H5" s="2" t="s">
        <v>13</v>
      </c>
    </row>
    <row r="6" spans="1:8">
      <c r="A6" t="s">
        <v>5</v>
      </c>
      <c r="B6">
        <v>954</v>
      </c>
      <c r="D6" t="s">
        <v>18</v>
      </c>
      <c r="E6">
        <v>98</v>
      </c>
      <c r="F6" s="1">
        <v>1233654.8</v>
      </c>
      <c r="G6" s="1">
        <v>13846011</v>
      </c>
      <c r="H6" s="1">
        <v>11.22</v>
      </c>
    </row>
    <row r="7" spans="1:8">
      <c r="A7" t="s">
        <v>6</v>
      </c>
      <c r="B7" s="5">
        <v>5961990</v>
      </c>
      <c r="D7" t="s">
        <v>19</v>
      </c>
      <c r="E7" s="6">
        <v>183</v>
      </c>
      <c r="F7" s="8">
        <v>1095212.2</v>
      </c>
      <c r="G7" s="9">
        <v>11418956</v>
      </c>
      <c r="H7">
        <v>10.43</v>
      </c>
    </row>
    <row r="8" spans="1:8">
      <c r="A8" t="s">
        <v>7</v>
      </c>
      <c r="B8" s="5">
        <v>5956168</v>
      </c>
      <c r="D8" t="s">
        <v>20</v>
      </c>
      <c r="E8" s="12">
        <v>224</v>
      </c>
      <c r="F8" s="7">
        <v>1347518.5</v>
      </c>
      <c r="G8" s="9">
        <v>13426760</v>
      </c>
      <c r="H8">
        <v>9.9600000000000009</v>
      </c>
    </row>
    <row r="9" spans="1:8">
      <c r="A9" t="s">
        <v>8</v>
      </c>
      <c r="B9" s="5">
        <v>59886710</v>
      </c>
      <c r="D9" t="s">
        <v>21</v>
      </c>
      <c r="E9" s="10">
        <v>200</v>
      </c>
      <c r="F9" s="7">
        <v>1160623.2</v>
      </c>
      <c r="G9" s="9">
        <v>11063115</v>
      </c>
      <c r="H9">
        <v>9.5299999999999994</v>
      </c>
    </row>
    <row r="10" spans="1:8">
      <c r="A10" t="s">
        <v>9</v>
      </c>
      <c r="B10">
        <v>505672</v>
      </c>
      <c r="D10" t="s">
        <v>22</v>
      </c>
      <c r="E10" s="11">
        <v>195</v>
      </c>
      <c r="F10" s="7">
        <v>1119159.1000000001</v>
      </c>
      <c r="G10" s="10">
        <v>10131868</v>
      </c>
      <c r="H10">
        <v>9.0500000000000007</v>
      </c>
    </row>
    <row r="11" spans="1:8">
      <c r="A11" t="s">
        <v>10</v>
      </c>
      <c r="B11" s="4">
        <v>0.18429999999999999</v>
      </c>
      <c r="G11" s="6"/>
    </row>
    <row r="12" spans="1:8">
      <c r="A12" t="s">
        <v>11</v>
      </c>
      <c r="B12" s="4">
        <v>0.49909999999999999</v>
      </c>
    </row>
    <row r="13" spans="1:8">
      <c r="A13" t="s">
        <v>12</v>
      </c>
      <c r="B13">
        <v>11.78</v>
      </c>
    </row>
    <row r="14" spans="1:8">
      <c r="A14" t="s">
        <v>13</v>
      </c>
      <c r="B14">
        <v>10.050000000000001</v>
      </c>
    </row>
    <row r="16" spans="1:8" ht="15.75">
      <c r="D16" s="2"/>
      <c r="E16" s="2"/>
      <c r="F16" s="2"/>
      <c r="G16" s="2"/>
      <c r="H16" s="2"/>
    </row>
    <row r="17" spans="5:8">
      <c r="F17" s="1"/>
      <c r="G17" s="1"/>
      <c r="H17" s="1"/>
    </row>
    <row r="18" spans="5:8">
      <c r="E18" s="1"/>
    </row>
    <row r="19" spans="5:8">
      <c r="E19" s="1"/>
    </row>
    <row r="20" spans="5:8">
      <c r="E20" s="1"/>
    </row>
  </sheetData>
  <mergeCells count="2">
    <mergeCell ref="A1:H1"/>
    <mergeCell ref="A2:H2"/>
  </mergeCells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L17"/>
  <sheetViews>
    <sheetView topLeftCell="A2" workbookViewId="0">
      <selection activeCell="H14" sqref="H14"/>
    </sheetView>
  </sheetViews>
  <sheetFormatPr defaultRowHeight="15"/>
  <cols>
    <col min="1" max="1" width="17.140625" bestFit="1" customWidth="1"/>
    <col min="2" max="2" width="13.28515625" bestFit="1" customWidth="1"/>
    <col min="3" max="3" width="17.7109375" bestFit="1" customWidth="1"/>
    <col min="4" max="4" width="15.42578125" bestFit="1" customWidth="1"/>
    <col min="5" max="5" width="17.28515625" customWidth="1"/>
    <col min="6" max="6" width="11.7109375" bestFit="1" customWidth="1"/>
    <col min="7" max="7" width="11" bestFit="1" customWidth="1"/>
    <col min="8" max="8" width="16.28515625" bestFit="1" customWidth="1"/>
    <col min="9" max="9" width="13" bestFit="1" customWidth="1"/>
    <col min="10" max="10" width="15.42578125" bestFit="1" customWidth="1"/>
    <col min="11" max="11" width="20.42578125" bestFit="1" customWidth="1"/>
    <col min="12" max="12" width="13.42578125" bestFit="1" customWidth="1"/>
  </cols>
  <sheetData>
    <row r="1" spans="1:12" ht="28.5">
      <c r="A1" s="22" t="s">
        <v>23</v>
      </c>
      <c r="B1" s="20" t="s">
        <v>24</v>
      </c>
      <c r="C1" s="20" t="s">
        <v>25</v>
      </c>
      <c r="D1" s="20" t="s">
        <v>26</v>
      </c>
      <c r="E1" s="20" t="s">
        <v>27</v>
      </c>
      <c r="F1" s="20" t="s">
        <v>28</v>
      </c>
      <c r="G1" s="20" t="s">
        <v>16</v>
      </c>
      <c r="H1" s="20" t="s">
        <v>29</v>
      </c>
      <c r="I1" s="20" t="s">
        <v>17</v>
      </c>
      <c r="J1" s="20" t="s">
        <v>30</v>
      </c>
      <c r="K1" s="20" t="s">
        <v>31</v>
      </c>
    </row>
    <row r="2" spans="1:12">
      <c r="A2" s="21" t="s">
        <v>32</v>
      </c>
      <c r="B2" s="21" t="s">
        <v>21</v>
      </c>
      <c r="C2" s="21" t="s">
        <v>33</v>
      </c>
      <c r="D2" s="21" t="s">
        <v>34</v>
      </c>
      <c r="E2" s="21" t="s">
        <v>35</v>
      </c>
      <c r="F2" s="21" t="s">
        <v>36</v>
      </c>
      <c r="G2" s="21">
        <v>6453.9</v>
      </c>
      <c r="H2" s="21">
        <v>174</v>
      </c>
      <c r="I2" s="21">
        <v>27840</v>
      </c>
      <c r="J2" s="21">
        <v>37.091379000000003</v>
      </c>
      <c r="K2" s="21">
        <v>4.3136710000000003</v>
      </c>
    </row>
    <row r="3" spans="1:12">
      <c r="A3" s="21" t="s">
        <v>37</v>
      </c>
      <c r="B3" s="21" t="s">
        <v>38</v>
      </c>
      <c r="C3" s="21" t="s">
        <v>39</v>
      </c>
      <c r="D3" s="21" t="s">
        <v>40</v>
      </c>
      <c r="E3" s="21" t="s">
        <v>35</v>
      </c>
      <c r="F3" s="21" t="s">
        <v>41</v>
      </c>
      <c r="G3" s="21">
        <v>10067.4</v>
      </c>
      <c r="H3" s="21">
        <v>821</v>
      </c>
      <c r="I3" s="21">
        <v>128076</v>
      </c>
      <c r="J3" s="21">
        <v>12.262363000000001</v>
      </c>
      <c r="K3" s="21">
        <v>12.721855</v>
      </c>
    </row>
    <row r="4" spans="1:12" ht="28.5">
      <c r="A4" s="21" t="s">
        <v>42</v>
      </c>
      <c r="B4" s="21" t="s">
        <v>21</v>
      </c>
      <c r="C4" s="21" t="s">
        <v>43</v>
      </c>
      <c r="D4" s="21" t="s">
        <v>34</v>
      </c>
      <c r="E4" s="21" t="s">
        <v>44</v>
      </c>
      <c r="F4" s="21" t="s">
        <v>45</v>
      </c>
      <c r="G4" s="21">
        <v>7623</v>
      </c>
      <c r="H4" s="21">
        <v>1060</v>
      </c>
      <c r="I4" s="21">
        <v>193980</v>
      </c>
      <c r="J4" s="21">
        <v>7.1915089999999999</v>
      </c>
      <c r="K4" s="21">
        <v>25.446674999999999</v>
      </c>
    </row>
    <row r="5" spans="1:12" ht="28.5">
      <c r="A5" s="21" t="s">
        <v>46</v>
      </c>
      <c r="B5" s="21" t="s">
        <v>19</v>
      </c>
      <c r="C5" s="21" t="s">
        <v>39</v>
      </c>
      <c r="D5" s="21" t="s">
        <v>47</v>
      </c>
      <c r="E5" s="21" t="s">
        <v>35</v>
      </c>
      <c r="F5" s="21" t="s">
        <v>45</v>
      </c>
      <c r="G5" s="21">
        <v>8504.2000000000007</v>
      </c>
      <c r="H5" s="21">
        <v>308</v>
      </c>
      <c r="I5" s="21">
        <v>24024</v>
      </c>
      <c r="J5" s="21">
        <v>27.611039000000002</v>
      </c>
      <c r="K5" s="21">
        <v>2.8249569999999999</v>
      </c>
    </row>
    <row r="6" spans="1:12">
      <c r="A6" s="21" t="s">
        <v>48</v>
      </c>
      <c r="B6" s="21" t="s">
        <v>19</v>
      </c>
      <c r="C6" s="21" t="s">
        <v>39</v>
      </c>
      <c r="D6" s="21" t="s">
        <v>47</v>
      </c>
      <c r="E6" s="21" t="s">
        <v>44</v>
      </c>
      <c r="F6" s="21" t="s">
        <v>36</v>
      </c>
      <c r="G6" s="21">
        <v>8046.5</v>
      </c>
      <c r="H6" s="21">
        <v>1428</v>
      </c>
      <c r="I6" s="21">
        <v>277032</v>
      </c>
      <c r="J6" s="21">
        <v>5.6348039999999999</v>
      </c>
      <c r="K6" s="21">
        <v>34.428882000000002</v>
      </c>
    </row>
    <row r="7" spans="1:12">
      <c r="A7" s="21" t="s">
        <v>49</v>
      </c>
      <c r="B7" s="21" t="s">
        <v>49</v>
      </c>
      <c r="C7" s="21" t="s">
        <v>49</v>
      </c>
      <c r="D7" s="21" t="s">
        <v>49</v>
      </c>
      <c r="E7" s="21" t="s">
        <v>49</v>
      </c>
      <c r="F7" s="21" t="s">
        <v>49</v>
      </c>
      <c r="G7" s="21" t="s">
        <v>49</v>
      </c>
      <c r="H7" s="21" t="s">
        <v>49</v>
      </c>
      <c r="I7" s="21" t="s">
        <v>49</v>
      </c>
      <c r="J7" s="21" t="s">
        <v>49</v>
      </c>
      <c r="K7" s="21" t="s">
        <v>49</v>
      </c>
    </row>
    <row r="8" spans="1:12">
      <c r="A8" s="21" t="s">
        <v>50</v>
      </c>
      <c r="B8" s="21" t="s">
        <v>18</v>
      </c>
      <c r="C8" s="21" t="s">
        <v>33</v>
      </c>
      <c r="D8" s="21" t="s">
        <v>51</v>
      </c>
      <c r="E8" s="21" t="s">
        <v>44</v>
      </c>
      <c r="F8" s="21" t="s">
        <v>36</v>
      </c>
      <c r="G8" s="21">
        <v>7696</v>
      </c>
      <c r="H8" s="21">
        <v>136</v>
      </c>
      <c r="I8" s="21">
        <v>24072</v>
      </c>
      <c r="J8" s="21">
        <v>56.588234999999997</v>
      </c>
      <c r="K8" s="21">
        <v>3.1278589999999999</v>
      </c>
    </row>
    <row r="9" spans="1:12">
      <c r="A9" s="21" t="s">
        <v>52</v>
      </c>
      <c r="B9" s="21" t="s">
        <v>38</v>
      </c>
      <c r="C9" s="21" t="s">
        <v>43</v>
      </c>
      <c r="D9" s="21" t="s">
        <v>51</v>
      </c>
      <c r="E9" s="21" t="s">
        <v>44</v>
      </c>
      <c r="F9" s="21" t="s">
        <v>53</v>
      </c>
      <c r="G9" s="21">
        <v>3523.2</v>
      </c>
      <c r="H9" s="21">
        <v>1258</v>
      </c>
      <c r="I9" s="21">
        <v>206312</v>
      </c>
      <c r="J9" s="21">
        <v>2.8006359999999999</v>
      </c>
      <c r="K9" s="21">
        <v>58.558129000000001</v>
      </c>
    </row>
    <row r="10" spans="1:12" ht="28.5">
      <c r="A10" s="21" t="s">
        <v>54</v>
      </c>
      <c r="B10" s="21" t="s">
        <v>19</v>
      </c>
      <c r="C10" s="21" t="s">
        <v>43</v>
      </c>
      <c r="D10" s="21" t="s">
        <v>40</v>
      </c>
      <c r="E10" s="21" t="s">
        <v>44</v>
      </c>
      <c r="F10" s="21" t="s">
        <v>45</v>
      </c>
      <c r="G10" s="21">
        <v>5061</v>
      </c>
      <c r="H10" s="21">
        <v>83</v>
      </c>
      <c r="I10" s="21">
        <v>5146</v>
      </c>
      <c r="J10" s="21">
        <v>60.975904</v>
      </c>
      <c r="K10" s="21">
        <v>1.0167949999999999</v>
      </c>
    </row>
    <row r="11" spans="1:12">
      <c r="A11" s="21" t="s">
        <v>55</v>
      </c>
      <c r="B11" s="21" t="s">
        <v>21</v>
      </c>
      <c r="C11" s="21" t="s">
        <v>56</v>
      </c>
      <c r="D11" s="21" t="s">
        <v>40</v>
      </c>
      <c r="E11" s="21" t="s">
        <v>44</v>
      </c>
      <c r="F11" s="21" t="s">
        <v>36</v>
      </c>
      <c r="G11" s="21">
        <v>8956.7999999999993</v>
      </c>
      <c r="H11" s="21">
        <v>239</v>
      </c>
      <c r="I11" s="21">
        <v>35372</v>
      </c>
      <c r="J11" s="21">
        <v>37.476151000000002</v>
      </c>
      <c r="K11" s="21">
        <v>3.9491779999999999</v>
      </c>
    </row>
    <row r="12" spans="1:12">
      <c r="A12" s="21" t="s">
        <v>57</v>
      </c>
      <c r="B12" s="21" t="s">
        <v>21</v>
      </c>
      <c r="C12" s="21" t="s">
        <v>33</v>
      </c>
      <c r="D12" s="21" t="s">
        <v>47</v>
      </c>
      <c r="E12" s="21" t="s">
        <v>44</v>
      </c>
      <c r="F12" s="21" t="s">
        <v>53</v>
      </c>
      <c r="G12" s="21">
        <v>3192.8</v>
      </c>
      <c r="H12" s="21">
        <v>415</v>
      </c>
      <c r="I12" s="21">
        <v>41915</v>
      </c>
      <c r="J12" s="21">
        <v>7.6934940000000003</v>
      </c>
      <c r="K12" s="21">
        <v>13.127974999999999</v>
      </c>
    </row>
    <row r="13" spans="1:12">
      <c r="F13" s="19"/>
    </row>
    <row r="14" spans="1:12" ht="48">
      <c r="A14" s="18"/>
      <c r="F14" s="23" t="s">
        <v>107</v>
      </c>
      <c r="G14" s="6"/>
      <c r="H14" s="6"/>
      <c r="I14" s="6"/>
      <c r="J14" s="6"/>
      <c r="K14" s="6"/>
      <c r="L14" s="6"/>
    </row>
    <row r="15" spans="1:12" ht="105">
      <c r="F15" s="6" t="s">
        <v>108</v>
      </c>
      <c r="G15" s="6"/>
      <c r="H15" s="6"/>
      <c r="I15" s="6"/>
      <c r="J15" s="6"/>
      <c r="K15" s="6"/>
      <c r="L15" s="6"/>
    </row>
    <row r="16" spans="1:12" ht="135">
      <c r="F16" s="6" t="s">
        <v>109</v>
      </c>
      <c r="G16" s="6"/>
      <c r="H16" s="6"/>
      <c r="I16" s="6"/>
      <c r="J16" s="6"/>
      <c r="K16" s="6"/>
      <c r="L16" s="6"/>
    </row>
    <row r="17" spans="6:12" ht="180">
      <c r="F17" s="6" t="s">
        <v>110</v>
      </c>
      <c r="G17" s="6"/>
      <c r="H17" s="6"/>
      <c r="I17" s="6"/>
      <c r="J17" s="6"/>
      <c r="K17" s="6"/>
      <c r="L17" s="6"/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N14"/>
  <sheetViews>
    <sheetView tabSelected="1" topLeftCell="A5" workbookViewId="0">
      <selection activeCell="N14" sqref="N14"/>
    </sheetView>
  </sheetViews>
  <sheetFormatPr defaultRowHeight="15"/>
  <cols>
    <col min="1" max="1" width="7.7109375" bestFit="1" customWidth="1"/>
    <col min="2" max="2" width="12.85546875" customWidth="1"/>
    <col min="3" max="3" width="14.7109375" customWidth="1"/>
    <col min="4" max="4" width="13.85546875" customWidth="1"/>
    <col min="5" max="5" width="19" customWidth="1"/>
    <col min="6" max="6" width="13.42578125" customWidth="1"/>
    <col min="7" max="7" width="19.140625" customWidth="1"/>
    <col min="8" max="8" width="15.85546875" customWidth="1"/>
    <col min="10" max="10" width="17.5703125" customWidth="1"/>
  </cols>
  <sheetData>
    <row r="1" spans="1:14">
      <c r="A1" s="16" t="s">
        <v>58</v>
      </c>
      <c r="B1" s="16" t="s">
        <v>15</v>
      </c>
      <c r="C1" s="16" t="s">
        <v>59</v>
      </c>
      <c r="D1" s="16" t="s">
        <v>60</v>
      </c>
      <c r="E1" s="16" t="s">
        <v>61</v>
      </c>
      <c r="F1" s="16" t="s">
        <v>62</v>
      </c>
      <c r="G1" s="16" t="s">
        <v>63</v>
      </c>
      <c r="H1" s="16" t="s">
        <v>64</v>
      </c>
      <c r="I1" s="16" t="s">
        <v>10</v>
      </c>
      <c r="J1" s="16" t="s">
        <v>65</v>
      </c>
      <c r="K1" s="16" t="s">
        <v>12</v>
      </c>
      <c r="L1" s="16" t="s">
        <v>66</v>
      </c>
      <c r="M1" s="16" t="s">
        <v>13</v>
      </c>
      <c r="N1" s="15"/>
    </row>
    <row r="2" spans="1:14">
      <c r="A2" s="17" t="s">
        <v>67</v>
      </c>
      <c r="B2" s="17">
        <v>61</v>
      </c>
      <c r="C2" s="17">
        <v>319380</v>
      </c>
      <c r="D2" s="17">
        <v>319010.5</v>
      </c>
      <c r="E2" s="17">
        <v>311261</v>
      </c>
      <c r="F2" s="17">
        <v>58018</v>
      </c>
      <c r="G2" s="17">
        <v>28443</v>
      </c>
      <c r="H2" s="17">
        <v>3321877</v>
      </c>
      <c r="I2" s="17">
        <v>0.18639700000000001</v>
      </c>
      <c r="J2" s="17">
        <v>0.49024400000000001</v>
      </c>
      <c r="K2" s="17">
        <v>5.498475</v>
      </c>
      <c r="L2" s="17">
        <v>11.215782000000001</v>
      </c>
      <c r="M2" s="17">
        <v>10.413065</v>
      </c>
      <c r="N2" s="17"/>
    </row>
    <row r="3" spans="1:14">
      <c r="A3" s="17" t="s">
        <v>68</v>
      </c>
      <c r="B3" s="17">
        <v>87</v>
      </c>
      <c r="C3" s="17">
        <v>521890</v>
      </c>
      <c r="D3" s="17">
        <v>524689.30000000005</v>
      </c>
      <c r="E3" s="17">
        <v>499315</v>
      </c>
      <c r="F3" s="17">
        <v>81129</v>
      </c>
      <c r="G3" s="17">
        <v>40951</v>
      </c>
      <c r="H3" s="17">
        <v>4927968</v>
      </c>
      <c r="I3" s="17">
        <v>0.18639700000000001</v>
      </c>
      <c r="J3" s="17">
        <v>0.50476399999999999</v>
      </c>
      <c r="K3" s="17">
        <v>6.467346</v>
      </c>
      <c r="L3" s="17">
        <v>12.812613000000001</v>
      </c>
      <c r="M3" s="17">
        <v>9.3921639999999993</v>
      </c>
      <c r="N3" s="17"/>
    </row>
    <row r="4" spans="1:14">
      <c r="A4" s="17" t="s">
        <v>69</v>
      </c>
      <c r="B4" s="17">
        <v>95</v>
      </c>
      <c r="C4" s="17">
        <v>562600</v>
      </c>
      <c r="D4" s="17">
        <v>563206.19999999995</v>
      </c>
      <c r="E4" s="17">
        <v>475986</v>
      </c>
      <c r="F4" s="17">
        <v>100933</v>
      </c>
      <c r="G4" s="17">
        <v>48081</v>
      </c>
      <c r="H4" s="17">
        <v>6413032</v>
      </c>
      <c r="I4" s="17">
        <v>0.18639700000000001</v>
      </c>
      <c r="J4" s="17">
        <v>0.47636600000000001</v>
      </c>
      <c r="K4" s="17">
        <v>5.5800010000000002</v>
      </c>
      <c r="L4" s="17">
        <v>11.713696000000001</v>
      </c>
      <c r="M4" s="17">
        <v>11.386649999999999</v>
      </c>
      <c r="N4" s="17"/>
    </row>
    <row r="5" spans="1:14">
      <c r="A5" s="17" t="s">
        <v>70</v>
      </c>
      <c r="B5" s="17">
        <v>84</v>
      </c>
      <c r="C5" s="17">
        <v>540050</v>
      </c>
      <c r="D5" s="17">
        <v>535933.1</v>
      </c>
      <c r="E5" s="17">
        <v>459894</v>
      </c>
      <c r="F5" s="17">
        <v>91331</v>
      </c>
      <c r="G5" s="17">
        <v>49207</v>
      </c>
      <c r="H5" s="17">
        <v>5769677</v>
      </c>
      <c r="I5" s="17">
        <v>0.18639700000000001</v>
      </c>
      <c r="J5" s="17">
        <v>0.53877699999999995</v>
      </c>
      <c r="K5" s="17">
        <v>5.8680310000000002</v>
      </c>
      <c r="L5" s="17">
        <v>10.891400000000001</v>
      </c>
      <c r="M5" s="17">
        <v>10.765666</v>
      </c>
      <c r="N5" s="17"/>
    </row>
    <row r="6" spans="1:14">
      <c r="A6" s="17" t="s">
        <v>71</v>
      </c>
      <c r="B6" s="17">
        <v>90</v>
      </c>
      <c r="C6" s="17">
        <v>531790</v>
      </c>
      <c r="D6" s="17">
        <v>531608.6</v>
      </c>
      <c r="E6" s="17">
        <v>482623</v>
      </c>
      <c r="F6" s="17">
        <v>85590</v>
      </c>
      <c r="G6" s="17">
        <v>41201</v>
      </c>
      <c r="H6" s="17">
        <v>4904379</v>
      </c>
      <c r="I6" s="17">
        <v>0.18639700000000001</v>
      </c>
      <c r="J6" s="17">
        <v>0.48137600000000003</v>
      </c>
      <c r="K6" s="17">
        <v>6.211106</v>
      </c>
      <c r="L6" s="17">
        <v>12.902808</v>
      </c>
      <c r="M6" s="17">
        <v>9.2255450000000003</v>
      </c>
      <c r="N6" s="17"/>
    </row>
    <row r="7" spans="1:14">
      <c r="A7" s="17" t="s">
        <v>72</v>
      </c>
      <c r="B7" s="17">
        <v>87</v>
      </c>
      <c r="C7" s="17">
        <v>519210</v>
      </c>
      <c r="D7" s="17">
        <v>517916</v>
      </c>
      <c r="E7" s="17">
        <v>439094</v>
      </c>
      <c r="F7" s="17">
        <v>86963</v>
      </c>
      <c r="G7" s="17">
        <v>44327</v>
      </c>
      <c r="H7" s="17">
        <v>5116647</v>
      </c>
      <c r="I7" s="17">
        <v>0.18639700000000001</v>
      </c>
      <c r="J7" s="17">
        <v>0.50972300000000004</v>
      </c>
      <c r="K7" s="17">
        <v>5.9555899999999999</v>
      </c>
      <c r="L7" s="17">
        <v>11.683985</v>
      </c>
      <c r="M7" s="17">
        <v>9.8792989999999996</v>
      </c>
      <c r="N7" s="17"/>
    </row>
    <row r="8" spans="1:14">
      <c r="A8" s="17" t="s">
        <v>73</v>
      </c>
      <c r="B8" s="17">
        <v>82</v>
      </c>
      <c r="C8" s="17">
        <v>525380</v>
      </c>
      <c r="D8" s="17">
        <v>523225.7</v>
      </c>
      <c r="E8" s="17">
        <v>424083</v>
      </c>
      <c r="F8" s="17">
        <v>83500</v>
      </c>
      <c r="G8" s="17">
        <v>41453</v>
      </c>
      <c r="H8" s="17">
        <v>5009860</v>
      </c>
      <c r="I8" s="17">
        <v>0.18639700000000001</v>
      </c>
      <c r="J8" s="17">
        <v>0.49644300000000002</v>
      </c>
      <c r="K8" s="17">
        <v>6.2661759999999997</v>
      </c>
      <c r="L8" s="17">
        <v>12.622142999999999</v>
      </c>
      <c r="M8" s="17">
        <v>9.5749499999999994</v>
      </c>
      <c r="N8" s="17"/>
    </row>
    <row r="9" spans="1:14">
      <c r="A9" s="17" t="s">
        <v>74</v>
      </c>
      <c r="B9" s="17">
        <v>75</v>
      </c>
      <c r="C9" s="17">
        <v>450960</v>
      </c>
      <c r="D9" s="17">
        <v>449067.5</v>
      </c>
      <c r="E9" s="17">
        <v>406671</v>
      </c>
      <c r="F9" s="17">
        <v>87993</v>
      </c>
      <c r="G9" s="17">
        <v>40253</v>
      </c>
      <c r="H9" s="17">
        <v>4747832</v>
      </c>
      <c r="I9" s="17">
        <v>0.18639700000000001</v>
      </c>
      <c r="J9" s="17">
        <v>0.457457</v>
      </c>
      <c r="K9" s="17">
        <v>5.1034459999999999</v>
      </c>
      <c r="L9" s="17">
        <v>11.156124999999999</v>
      </c>
      <c r="M9" s="17">
        <v>10.572647</v>
      </c>
      <c r="N9" s="17"/>
    </row>
    <row r="10" spans="1:14">
      <c r="A10" s="17" t="s">
        <v>75</v>
      </c>
      <c r="B10" s="17">
        <v>91</v>
      </c>
      <c r="C10" s="17">
        <v>527780</v>
      </c>
      <c r="D10" s="17">
        <v>528309.69999999995</v>
      </c>
      <c r="E10" s="17">
        <v>551379</v>
      </c>
      <c r="F10" s="17">
        <v>88427</v>
      </c>
      <c r="G10" s="17">
        <v>46476</v>
      </c>
      <c r="H10" s="17">
        <v>4988722</v>
      </c>
      <c r="I10" s="17">
        <v>0.18639700000000001</v>
      </c>
      <c r="J10" s="17">
        <v>0.525586</v>
      </c>
      <c r="K10" s="17">
        <v>5.9745290000000004</v>
      </c>
      <c r="L10" s="17">
        <v>11.367366000000001</v>
      </c>
      <c r="M10" s="17">
        <v>9.4427979999999998</v>
      </c>
      <c r="N10" s="17"/>
    </row>
    <row r="11" spans="1:14">
      <c r="A11" s="17" t="s">
        <v>76</v>
      </c>
      <c r="B11" s="17">
        <v>64</v>
      </c>
      <c r="C11" s="17">
        <v>388990</v>
      </c>
      <c r="D11" s="17">
        <v>387299.2</v>
      </c>
      <c r="E11" s="17">
        <v>376950</v>
      </c>
      <c r="F11" s="17">
        <v>65303</v>
      </c>
      <c r="G11" s="17">
        <v>37469</v>
      </c>
      <c r="H11" s="17">
        <v>4478878</v>
      </c>
      <c r="I11" s="17">
        <v>0.18639700000000001</v>
      </c>
      <c r="J11" s="17">
        <v>0.57377100000000003</v>
      </c>
      <c r="K11" s="17">
        <v>5.930803</v>
      </c>
      <c r="L11" s="17">
        <v>10.336524000000001</v>
      </c>
      <c r="M11" s="17">
        <v>11.564387</v>
      </c>
      <c r="N11" s="17"/>
    </row>
    <row r="12" spans="1:14">
      <c r="A12" s="17" t="s">
        <v>77</v>
      </c>
      <c r="B12" s="17">
        <v>72</v>
      </c>
      <c r="C12" s="17">
        <v>419500</v>
      </c>
      <c r="D12" s="17">
        <v>421192.4</v>
      </c>
      <c r="E12" s="17">
        <v>389087</v>
      </c>
      <c r="F12" s="17">
        <v>71568</v>
      </c>
      <c r="G12" s="17">
        <v>36446</v>
      </c>
      <c r="H12" s="17">
        <v>4148418</v>
      </c>
      <c r="I12" s="17">
        <v>0.18639700000000001</v>
      </c>
      <c r="J12" s="17">
        <v>0.50924999999999998</v>
      </c>
      <c r="K12" s="17">
        <v>5.8852060000000002</v>
      </c>
      <c r="L12" s="17">
        <v>11.556615000000001</v>
      </c>
      <c r="M12" s="17">
        <v>9.8492230000000003</v>
      </c>
      <c r="N12" s="17"/>
    </row>
    <row r="13" spans="1:14">
      <c r="A13" s="17" t="s">
        <v>78</v>
      </c>
      <c r="B13" s="17">
        <v>90</v>
      </c>
      <c r="C13" s="17">
        <v>523490</v>
      </c>
      <c r="D13" s="17">
        <v>523495.2</v>
      </c>
      <c r="E13" s="17">
        <v>555678</v>
      </c>
      <c r="F13" s="17">
        <v>91586</v>
      </c>
      <c r="G13" s="17">
        <v>41771</v>
      </c>
      <c r="H13" s="17">
        <v>4962436</v>
      </c>
      <c r="I13" s="17">
        <v>0.18639700000000001</v>
      </c>
      <c r="J13" s="17">
        <v>0.45608500000000002</v>
      </c>
      <c r="K13" s="17">
        <v>5.7158870000000004</v>
      </c>
      <c r="L13" s="17">
        <v>12.532503</v>
      </c>
      <c r="M13" s="17">
        <v>9.4794300000000007</v>
      </c>
      <c r="N13" s="17"/>
    </row>
    <row r="14" spans="1:14">
      <c r="A14" s="17" t="s">
        <v>79</v>
      </c>
      <c r="B14" s="17">
        <v>22</v>
      </c>
      <c r="C14" s="17">
        <v>130970</v>
      </c>
      <c r="D14" s="17">
        <v>131214.39999999999</v>
      </c>
      <c r="E14" s="17">
        <v>125156</v>
      </c>
      <c r="F14" s="17">
        <v>20888</v>
      </c>
      <c r="G14" s="17">
        <v>9594</v>
      </c>
      <c r="H14" s="17">
        <v>1096984</v>
      </c>
      <c r="I14" s="17">
        <v>0.18639700000000001</v>
      </c>
      <c r="J14" s="17">
        <v>0.45930700000000002</v>
      </c>
      <c r="K14" s="17">
        <v>6.2818079999999998</v>
      </c>
      <c r="L14" s="17">
        <v>13.676715</v>
      </c>
      <c r="M14" s="17">
        <v>8.3602410000000003</v>
      </c>
      <c r="N14" s="17"/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I25"/>
  <sheetViews>
    <sheetView workbookViewId="0">
      <selection activeCell="I9" sqref="I9"/>
    </sheetView>
  </sheetViews>
  <sheetFormatPr defaultRowHeight="15"/>
  <cols>
    <col min="1" max="1" width="21.7109375" bestFit="1" customWidth="1"/>
    <col min="2" max="2" width="12.85546875" customWidth="1"/>
    <col min="3" max="3" width="14.7109375" customWidth="1"/>
    <col min="4" max="4" width="13.85546875" customWidth="1"/>
    <col min="5" max="5" width="15.85546875" customWidth="1"/>
    <col min="6" max="6" width="19.140625" customWidth="1"/>
  </cols>
  <sheetData>
    <row r="1" spans="1:9" ht="42.75">
      <c r="A1" s="16" t="s">
        <v>80</v>
      </c>
      <c r="B1" s="16" t="s">
        <v>15</v>
      </c>
      <c r="C1" s="16" t="s">
        <v>59</v>
      </c>
      <c r="D1" s="16" t="s">
        <v>60</v>
      </c>
      <c r="E1" s="16" t="s">
        <v>64</v>
      </c>
      <c r="F1" s="16" t="s">
        <v>63</v>
      </c>
      <c r="G1" s="16" t="s">
        <v>66</v>
      </c>
      <c r="H1" s="16" t="s">
        <v>13</v>
      </c>
      <c r="I1" s="15"/>
    </row>
    <row r="2" spans="1:9" ht="28.5">
      <c r="A2" s="17" t="s">
        <v>81</v>
      </c>
      <c r="B2" s="17">
        <v>88</v>
      </c>
      <c r="C2" s="17">
        <v>518050</v>
      </c>
      <c r="D2" s="17">
        <v>492147.5</v>
      </c>
      <c r="E2" s="17">
        <v>5109026</v>
      </c>
      <c r="F2" s="17">
        <v>39387</v>
      </c>
      <c r="G2" s="17">
        <v>12.495176000000001</v>
      </c>
      <c r="H2" s="17">
        <v>10.381087000000001</v>
      </c>
    </row>
    <row r="3" spans="1:9" ht="28.5">
      <c r="A3" s="17" t="s">
        <v>82</v>
      </c>
      <c r="B3" s="17">
        <v>912</v>
      </c>
      <c r="C3" s="17">
        <v>5443940</v>
      </c>
      <c r="D3" s="17">
        <v>5464020.2999999998</v>
      </c>
      <c r="E3" s="17">
        <v>54777684</v>
      </c>
      <c r="F3" s="17">
        <v>466285</v>
      </c>
      <c r="G3" s="17">
        <v>11.718199</v>
      </c>
      <c r="H3" s="17">
        <v>10.025161000000001</v>
      </c>
    </row>
    <row r="4" spans="1:9" ht="28.5">
      <c r="A4" s="17" t="s">
        <v>83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 t="s">
        <v>84</v>
      </c>
      <c r="H4" s="17" t="s">
        <v>84</v>
      </c>
    </row>
    <row r="6" spans="1:9" ht="15.75">
      <c r="A6" s="2" t="s">
        <v>85</v>
      </c>
      <c r="G6" s="2"/>
    </row>
    <row r="7" spans="1:9" ht="60">
      <c r="A7" s="6" t="s">
        <v>86</v>
      </c>
      <c r="G7" s="6"/>
    </row>
    <row r="8" spans="1:9" ht="45">
      <c r="A8" s="6" t="s">
        <v>87</v>
      </c>
      <c r="G8" s="6"/>
    </row>
    <row r="9" spans="1:9" ht="75">
      <c r="A9" s="6" t="s">
        <v>88</v>
      </c>
      <c r="G9" s="6"/>
    </row>
    <row r="10" spans="1:9" ht="60">
      <c r="A10" s="6" t="s">
        <v>89</v>
      </c>
      <c r="G10" s="6"/>
    </row>
    <row r="21" spans="1:5" ht="15.75">
      <c r="A21" s="2"/>
    </row>
    <row r="22" spans="1:5">
      <c r="A22" s="6"/>
      <c r="B22" s="6"/>
      <c r="C22" s="6"/>
      <c r="D22" s="6"/>
      <c r="E22" s="6"/>
    </row>
    <row r="23" spans="1:5">
      <c r="A23" s="6"/>
      <c r="B23" s="6"/>
      <c r="C23" s="6"/>
      <c r="D23" s="6"/>
      <c r="E23" s="6"/>
    </row>
    <row r="24" spans="1:5">
      <c r="A24" s="6"/>
      <c r="B24" s="6"/>
      <c r="C24" s="6"/>
      <c r="D24" s="6"/>
      <c r="E24" s="6"/>
    </row>
    <row r="25" spans="1:5">
      <c r="A25" s="6"/>
      <c r="B25" s="6"/>
      <c r="C25" s="6"/>
      <c r="D25" s="6"/>
      <c r="E25" s="6"/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P16"/>
  <sheetViews>
    <sheetView topLeftCell="E1" workbookViewId="0">
      <selection activeCell="N13" sqref="N13"/>
    </sheetView>
  </sheetViews>
  <sheetFormatPr defaultRowHeight="15"/>
  <cols>
    <col min="1" max="1" width="13" customWidth="1"/>
    <col min="2" max="2" width="15.85546875" customWidth="1"/>
    <col min="3" max="3" width="9.28515625" customWidth="1"/>
    <col min="4" max="4" width="12.85546875" customWidth="1"/>
    <col min="5" max="5" width="13.85546875" customWidth="1"/>
    <col min="6" max="6" width="15.85546875" customWidth="1"/>
    <col min="7" max="7" width="19.140625" customWidth="1"/>
    <col min="8" max="8" width="19" customWidth="1"/>
    <col min="9" max="9" width="13.42578125" customWidth="1"/>
    <col min="11" max="11" width="19.85546875" customWidth="1"/>
    <col min="13" max="13" width="13.5703125" customWidth="1"/>
    <col min="14" max="14" width="19.85546875" bestFit="1" customWidth="1"/>
    <col min="15" max="15" width="13.7109375" bestFit="1" customWidth="1"/>
    <col min="16" max="16" width="10.42578125" bestFit="1" customWidth="1"/>
  </cols>
  <sheetData>
    <row r="1" spans="1:16">
      <c r="A1" s="20" t="s">
        <v>26</v>
      </c>
      <c r="B1" s="20" t="s">
        <v>27</v>
      </c>
      <c r="C1" s="20" t="s">
        <v>28</v>
      </c>
      <c r="D1" s="20" t="s">
        <v>15</v>
      </c>
      <c r="E1" s="20" t="s">
        <v>60</v>
      </c>
      <c r="F1" s="20" t="s">
        <v>64</v>
      </c>
      <c r="G1" s="20" t="s">
        <v>63</v>
      </c>
      <c r="H1" s="20" t="s">
        <v>61</v>
      </c>
      <c r="I1" s="20" t="s">
        <v>62</v>
      </c>
      <c r="J1" s="20" t="s">
        <v>10</v>
      </c>
      <c r="K1" s="20" t="s">
        <v>65</v>
      </c>
      <c r="L1" s="20" t="s">
        <v>66</v>
      </c>
      <c r="M1" s="20" t="s">
        <v>13</v>
      </c>
      <c r="N1" s="20" t="s">
        <v>96</v>
      </c>
      <c r="O1" s="20" t="s">
        <v>13</v>
      </c>
      <c r="P1" s="15"/>
    </row>
    <row r="2" spans="1:16" ht="28.5">
      <c r="A2" s="17" t="s">
        <v>40</v>
      </c>
      <c r="B2" s="17" t="s">
        <v>44</v>
      </c>
      <c r="C2" s="17" t="s">
        <v>90</v>
      </c>
      <c r="D2" s="17">
        <v>15</v>
      </c>
      <c r="E2" s="17">
        <v>92280.3</v>
      </c>
      <c r="F2" s="17">
        <v>1758571</v>
      </c>
      <c r="G2" s="17">
        <v>10491</v>
      </c>
      <c r="H2" s="17">
        <v>94240</v>
      </c>
      <c r="I2" s="17">
        <v>18290</v>
      </c>
      <c r="J2" s="17">
        <v>0.194079</v>
      </c>
      <c r="K2" s="17">
        <v>0.57359199999999999</v>
      </c>
      <c r="L2" s="17">
        <v>8.7961399999999994</v>
      </c>
      <c r="M2" s="17">
        <v>19.056840999999999</v>
      </c>
      <c r="N2" s="17" t="s">
        <v>97</v>
      </c>
      <c r="O2" s="17">
        <v>19.056840999999999</v>
      </c>
      <c r="P2" s="17"/>
    </row>
    <row r="3" spans="1:16">
      <c r="A3" s="17" t="s">
        <v>92</v>
      </c>
      <c r="B3" s="17" t="s">
        <v>44</v>
      </c>
      <c r="C3" s="17" t="s">
        <v>53</v>
      </c>
      <c r="D3" s="17">
        <v>14</v>
      </c>
      <c r="E3" s="17">
        <v>81282.3</v>
      </c>
      <c r="F3" s="17">
        <v>1515770</v>
      </c>
      <c r="G3" s="17">
        <v>11922</v>
      </c>
      <c r="H3" s="17">
        <v>66966</v>
      </c>
      <c r="I3" s="17">
        <v>17541</v>
      </c>
      <c r="J3" s="17">
        <v>0.26193899999999998</v>
      </c>
      <c r="K3" s="17">
        <v>0.67966499999999996</v>
      </c>
      <c r="L3" s="17">
        <v>6.8178409999999996</v>
      </c>
      <c r="M3" s="17">
        <v>18.648216999999999</v>
      </c>
      <c r="N3" s="17" t="s">
        <v>98</v>
      </c>
      <c r="O3" s="17">
        <v>18.648216999999999</v>
      </c>
      <c r="P3" s="17"/>
    </row>
    <row r="4" spans="1:16">
      <c r="A4" s="17" t="s">
        <v>93</v>
      </c>
      <c r="B4" s="17" t="s">
        <v>91</v>
      </c>
      <c r="C4" s="17" t="s">
        <v>53</v>
      </c>
      <c r="D4" s="17">
        <v>13</v>
      </c>
      <c r="E4" s="17">
        <v>94532.1</v>
      </c>
      <c r="F4" s="17">
        <v>1632823</v>
      </c>
      <c r="G4" s="17">
        <v>12629</v>
      </c>
      <c r="H4" s="17">
        <v>81257</v>
      </c>
      <c r="I4" s="17">
        <v>17627</v>
      </c>
      <c r="J4" s="17">
        <v>0.21692900000000001</v>
      </c>
      <c r="K4" s="17">
        <v>0.71645800000000004</v>
      </c>
      <c r="L4" s="17">
        <v>7.4853199999999998</v>
      </c>
      <c r="M4" s="17">
        <v>17.272683000000001</v>
      </c>
      <c r="N4" s="17" t="s">
        <v>99</v>
      </c>
      <c r="O4" s="17">
        <v>17.272683000000001</v>
      </c>
      <c r="P4" s="17"/>
    </row>
    <row r="5" spans="1:16" ht="28.5">
      <c r="A5" s="17" t="s">
        <v>94</v>
      </c>
      <c r="B5" s="17" t="s">
        <v>44</v>
      </c>
      <c r="C5" s="17" t="s">
        <v>45</v>
      </c>
      <c r="D5" s="17">
        <v>11</v>
      </c>
      <c r="E5" s="17">
        <v>62593.5</v>
      </c>
      <c r="F5" s="17">
        <v>1034192</v>
      </c>
      <c r="G5" s="17">
        <v>7273</v>
      </c>
      <c r="H5" s="17">
        <v>61760</v>
      </c>
      <c r="I5" s="17">
        <v>13069</v>
      </c>
      <c r="J5" s="17">
        <v>0.21160899999999999</v>
      </c>
      <c r="K5" s="17">
        <v>0.556508</v>
      </c>
      <c r="L5" s="17">
        <v>8.6062840000000005</v>
      </c>
      <c r="M5" s="17">
        <v>16.522355000000001</v>
      </c>
      <c r="N5" s="17" t="s">
        <v>100</v>
      </c>
      <c r="O5" s="17">
        <v>16.522355000000001</v>
      </c>
      <c r="P5" s="17"/>
    </row>
    <row r="6" spans="1:16">
      <c r="A6" s="17" t="s">
        <v>95</v>
      </c>
      <c r="B6" s="17" t="s">
        <v>44</v>
      </c>
      <c r="C6" s="17" t="s">
        <v>36</v>
      </c>
      <c r="D6" s="17">
        <v>12</v>
      </c>
      <c r="E6" s="17">
        <v>61464.2</v>
      </c>
      <c r="F6" s="17">
        <v>1005158</v>
      </c>
      <c r="G6" s="17">
        <v>6726</v>
      </c>
      <c r="H6" s="17">
        <v>74360</v>
      </c>
      <c r="I6" s="17">
        <v>9647</v>
      </c>
      <c r="J6" s="17">
        <v>0.12973399999999999</v>
      </c>
      <c r="K6" s="17">
        <v>0.69721200000000005</v>
      </c>
      <c r="L6" s="17">
        <v>9.1382989999999999</v>
      </c>
      <c r="M6" s="17">
        <v>16.353552000000001</v>
      </c>
      <c r="N6" s="17" t="s">
        <v>101</v>
      </c>
      <c r="O6" s="17">
        <v>16.353552000000001</v>
      </c>
      <c r="P6" s="17"/>
    </row>
    <row r="7" spans="1:16" ht="28.5">
      <c r="A7" s="17" t="s">
        <v>94</v>
      </c>
      <c r="B7" s="17" t="s">
        <v>35</v>
      </c>
      <c r="C7" s="17" t="s">
        <v>90</v>
      </c>
      <c r="D7" s="17">
        <v>22</v>
      </c>
      <c r="E7" s="17">
        <v>130788.4</v>
      </c>
      <c r="F7" s="17">
        <v>1959286</v>
      </c>
      <c r="G7" s="17">
        <v>17207</v>
      </c>
      <c r="H7" s="17">
        <v>112846</v>
      </c>
      <c r="I7" s="17">
        <v>25614</v>
      </c>
      <c r="J7" s="17">
        <v>0.22698199999999999</v>
      </c>
      <c r="K7" s="17">
        <v>0.67178099999999996</v>
      </c>
      <c r="L7" s="17">
        <v>7.6008829999999996</v>
      </c>
      <c r="M7" s="17">
        <v>14.980579000000001</v>
      </c>
      <c r="N7" s="17" t="s">
        <v>102</v>
      </c>
      <c r="O7" s="17">
        <v>14.980579000000001</v>
      </c>
      <c r="P7" s="17"/>
    </row>
    <row r="8" spans="1:16" ht="28.5">
      <c r="A8" s="17" t="s">
        <v>40</v>
      </c>
      <c r="B8" s="17" t="s">
        <v>91</v>
      </c>
      <c r="C8" s="17" t="s">
        <v>45</v>
      </c>
      <c r="D8" s="17">
        <v>13</v>
      </c>
      <c r="E8" s="17">
        <v>67634</v>
      </c>
      <c r="F8" s="17">
        <v>974713</v>
      </c>
      <c r="G8" s="17">
        <v>6348</v>
      </c>
      <c r="H8" s="17">
        <v>72413</v>
      </c>
      <c r="I8" s="17">
        <v>14580</v>
      </c>
      <c r="J8" s="17">
        <v>0.201345</v>
      </c>
      <c r="K8" s="17">
        <v>0.43539099999999997</v>
      </c>
      <c r="L8" s="17">
        <v>10.654379</v>
      </c>
      <c r="M8" s="17">
        <v>14.411583</v>
      </c>
      <c r="N8" s="17" t="s">
        <v>103</v>
      </c>
      <c r="O8" s="17">
        <v>14.411583</v>
      </c>
      <c r="P8" s="17"/>
    </row>
    <row r="9" spans="1:16" ht="28.5">
      <c r="A9" s="17" t="s">
        <v>95</v>
      </c>
      <c r="B9" s="17" t="s">
        <v>35</v>
      </c>
      <c r="C9" s="17" t="s">
        <v>45</v>
      </c>
      <c r="D9" s="17">
        <v>13</v>
      </c>
      <c r="E9" s="17">
        <v>61516.3</v>
      </c>
      <c r="F9" s="17">
        <v>883062</v>
      </c>
      <c r="G9" s="17">
        <v>8139</v>
      </c>
      <c r="H9" s="17">
        <v>65852</v>
      </c>
      <c r="I9" s="17">
        <v>13660</v>
      </c>
      <c r="J9" s="17">
        <v>0.20743500000000001</v>
      </c>
      <c r="K9" s="17">
        <v>0.595827</v>
      </c>
      <c r="L9" s="17">
        <v>7.5582140000000004</v>
      </c>
      <c r="M9" s="17">
        <v>14.354927</v>
      </c>
      <c r="N9" s="17" t="s">
        <v>104</v>
      </c>
      <c r="O9" s="17">
        <v>14.354927</v>
      </c>
      <c r="P9" s="17"/>
    </row>
    <row r="10" spans="1:16" ht="28.5">
      <c r="A10" s="17" t="s">
        <v>40</v>
      </c>
      <c r="B10" s="17" t="s">
        <v>44</v>
      </c>
      <c r="C10" s="17" t="s">
        <v>45</v>
      </c>
      <c r="D10" s="17">
        <v>13</v>
      </c>
      <c r="E10" s="17">
        <v>66315.100000000006</v>
      </c>
      <c r="F10" s="17">
        <v>915594</v>
      </c>
      <c r="G10" s="17">
        <v>6295</v>
      </c>
      <c r="H10" s="17">
        <v>82654</v>
      </c>
      <c r="I10" s="17">
        <v>10615</v>
      </c>
      <c r="J10" s="17">
        <v>0.12842700000000001</v>
      </c>
      <c r="K10" s="17">
        <v>0.59302900000000003</v>
      </c>
      <c r="L10" s="17">
        <v>10.534566999999999</v>
      </c>
      <c r="M10" s="17">
        <v>13.80672</v>
      </c>
      <c r="N10" s="17" t="s">
        <v>105</v>
      </c>
      <c r="O10" s="17">
        <v>13.80672</v>
      </c>
      <c r="P10" s="17"/>
    </row>
    <row r="11" spans="1:16" ht="28.5">
      <c r="A11" s="17" t="s">
        <v>92</v>
      </c>
      <c r="B11" s="17" t="s">
        <v>44</v>
      </c>
      <c r="C11" s="17" t="s">
        <v>90</v>
      </c>
      <c r="D11" s="17">
        <v>14</v>
      </c>
      <c r="E11" s="17">
        <v>78045.899999999994</v>
      </c>
      <c r="F11" s="17">
        <v>1067948</v>
      </c>
      <c r="G11" s="17">
        <v>7856</v>
      </c>
      <c r="H11" s="17">
        <v>103288</v>
      </c>
      <c r="I11" s="17">
        <v>16097</v>
      </c>
      <c r="J11" s="17">
        <v>0.15584600000000001</v>
      </c>
      <c r="K11" s="17">
        <v>0.488041</v>
      </c>
      <c r="L11" s="17">
        <v>9.9345599999999994</v>
      </c>
      <c r="M11" s="17">
        <v>13.683589</v>
      </c>
      <c r="N11" s="17" t="s">
        <v>106</v>
      </c>
      <c r="O11" s="17">
        <v>13.683589</v>
      </c>
      <c r="P11" s="17"/>
    </row>
    <row r="12" spans="1:16" ht="28.5">
      <c r="A12" s="17" t="s">
        <v>95</v>
      </c>
      <c r="B12" s="17" t="s">
        <v>44</v>
      </c>
      <c r="C12" s="17" t="s">
        <v>90</v>
      </c>
      <c r="D12" s="17">
        <v>16</v>
      </c>
      <c r="E12" s="17">
        <v>89300.1</v>
      </c>
      <c r="F12" s="17">
        <v>1203928</v>
      </c>
      <c r="G12" s="17">
        <v>8768</v>
      </c>
      <c r="H12" s="17">
        <v>83503</v>
      </c>
      <c r="I12" s="17">
        <v>17935</v>
      </c>
      <c r="J12" s="17">
        <v>0.214783</v>
      </c>
      <c r="K12" s="17">
        <v>0.48887599999999998</v>
      </c>
      <c r="L12" s="17">
        <v>10.184774000000001</v>
      </c>
      <c r="M12" s="17">
        <v>13.481821</v>
      </c>
      <c r="N12" s="24"/>
      <c r="O12" s="24"/>
    </row>
    <row r="13" spans="1:16" ht="28.5">
      <c r="A13" s="17" t="s">
        <v>40</v>
      </c>
      <c r="B13" s="17" t="s">
        <v>35</v>
      </c>
      <c r="C13" s="17" t="s">
        <v>90</v>
      </c>
      <c r="D13" s="17">
        <v>13</v>
      </c>
      <c r="E13" s="17">
        <v>85019.199999999997</v>
      </c>
      <c r="F13" s="17">
        <v>1139958</v>
      </c>
      <c r="G13" s="17">
        <v>9059</v>
      </c>
      <c r="H13" s="17">
        <v>79952</v>
      </c>
      <c r="I13" s="17">
        <v>12834</v>
      </c>
      <c r="J13" s="17">
        <v>0.160521</v>
      </c>
      <c r="K13" s="17">
        <v>0.70585900000000001</v>
      </c>
      <c r="L13" s="17">
        <v>9.3850540000000002</v>
      </c>
      <c r="M13" s="17">
        <v>13.408242</v>
      </c>
      <c r="N13" s="24"/>
      <c r="O13" s="24"/>
    </row>
    <row r="14" spans="1:16">
      <c r="A14" s="17" t="s">
        <v>92</v>
      </c>
      <c r="B14" s="17" t="s">
        <v>44</v>
      </c>
      <c r="C14" s="17" t="s">
        <v>36</v>
      </c>
      <c r="D14" s="17">
        <v>15</v>
      </c>
      <c r="E14" s="17">
        <v>86903.1</v>
      </c>
      <c r="F14" s="17">
        <v>1102810</v>
      </c>
      <c r="G14" s="17">
        <v>9286</v>
      </c>
      <c r="H14" s="17">
        <v>76997</v>
      </c>
      <c r="I14" s="17">
        <v>17591</v>
      </c>
      <c r="J14" s="17">
        <v>0.228463</v>
      </c>
      <c r="K14" s="17">
        <v>0.52788400000000002</v>
      </c>
      <c r="L14" s="17">
        <v>9.3585069999999995</v>
      </c>
      <c r="M14" s="17">
        <v>12.690111</v>
      </c>
    </row>
    <row r="15" spans="1:16">
      <c r="A15" s="17" t="s">
        <v>95</v>
      </c>
      <c r="B15" s="17" t="s">
        <v>91</v>
      </c>
      <c r="C15" s="17" t="s">
        <v>53</v>
      </c>
      <c r="D15" s="17">
        <v>16</v>
      </c>
      <c r="E15" s="17">
        <v>89301.7</v>
      </c>
      <c r="F15" s="17">
        <v>1118173</v>
      </c>
      <c r="G15" s="17">
        <v>7604</v>
      </c>
      <c r="H15" s="17">
        <v>97601</v>
      </c>
      <c r="I15" s="17">
        <v>11457</v>
      </c>
      <c r="J15" s="17">
        <v>0.117386</v>
      </c>
      <c r="K15" s="17">
        <v>0.66369900000000004</v>
      </c>
      <c r="L15" s="17">
        <v>11.744043</v>
      </c>
      <c r="M15" s="17">
        <v>12.521296</v>
      </c>
    </row>
    <row r="16" spans="1:16">
      <c r="A16" s="17" t="s">
        <v>93</v>
      </c>
      <c r="B16" s="17" t="s">
        <v>35</v>
      </c>
      <c r="C16" s="17" t="s">
        <v>53</v>
      </c>
      <c r="D16" s="17" t="s">
        <v>53</v>
      </c>
      <c r="E16" s="17">
        <v>7</v>
      </c>
      <c r="F16" s="17">
        <v>50427.4</v>
      </c>
      <c r="G16" s="17">
        <v>629474</v>
      </c>
      <c r="H16" s="17">
        <v>5618</v>
      </c>
      <c r="I16" s="17">
        <v>29915</v>
      </c>
      <c r="J16" s="17">
        <v>7194</v>
      </c>
      <c r="K16" s="17">
        <v>0.240481</v>
      </c>
      <c r="L16" s="17">
        <v>0.78092899999999998</v>
      </c>
      <c r="M16" s="17">
        <v>12.482777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Campaign &amp; Channel Performance</vt:lpstr>
      <vt:lpstr>Monthly Performance</vt:lpstr>
      <vt:lpstr>Budget Analysis</vt:lpstr>
      <vt:lpstr>Audience Analysis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2026-09-01T12:22:53Z</dcterms:created>
  <dcterms:modified xsi:type="dcterms:W3CDTF">2026-09-02T05:24:42Z</dcterms:modified>
</cp:coreProperties>
</file>